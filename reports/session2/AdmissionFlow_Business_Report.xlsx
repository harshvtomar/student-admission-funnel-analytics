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33ddb3271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fe86868a55eb4afd"/>
    <x:sheet xmlns:r="http://schemas.openxmlformats.org/officeDocument/2006/relationships" name="Campaigns" sheetId="2" r:id="R3ab522d73a004c7e"/>
    <x:sheet xmlns:r="http://schemas.openxmlformats.org/officeDocument/2006/relationships" name="Channels" sheetId="3" r:id="R871d5be3c94e496c"/>
    <x:sheet xmlns:r="http://schemas.openxmlformats.org/officeDocument/2006/relationships" name="Funnel" sheetId="4" r:id="R784b94bd74284403"/>
    <x:sheet xmlns:r="http://schemas.openxmlformats.org/officeDocument/2006/relationships" name="Institutions" sheetId="5" r:id="R05a3d0e8afb14dfe"/>
    <x:sheet xmlns:r="http://schemas.openxmlformats.org/officeDocument/2006/relationships" name="Geography" sheetId="6" r:id="R6bfe5e399ceb4f85"/>
    <x:sheet xmlns:r="http://schemas.openxmlformats.org/officeDocument/2006/relationships" name="Scenarios" sheetId="7" r:id="Rd8b32b39e7184391"/>
    <x:sheet xmlns:r="http://schemas.openxmlformats.org/officeDocument/2006/relationships" name="Guide" sheetId="8" r:id="R19ddd578dc7a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₹&quot;#,##0.00;(&quot;₹&quot;#,##0.00);&quot;–&quot;"/>
    <x:numFmt numFmtId="201" formatCode="0.0%"/>
    <x:numFmt numFmtId="202" formatCode="0.00"/>
    <x:numFmt numFmtId="203" formatCode="0%"/>
    <x:numFmt numFmtId="204" formatCode="0.0"/>
  </x:numFmts>
  <x:fonts count="7">
    <x:font>
      <x:sz val="11"/>
      <x:name val="Carlito"/>
    </x:font>
    <x:font>
      <x:sz val="11"/>
      <x:name val="Arial"/>
    </x:font>
    <x:font>
      <x:b/>
      <x:sz val="20"/>
      <x:color rgb="FFFFFFFF"/>
      <x:name val="Arial"/>
    </x:font>
    <x:font>
      <x:sz val="10"/>
      <x:color rgb="FF56657A"/>
      <x:name val="Arial"/>
    </x:font>
    <x:font>
      <x:b/>
      <x:sz val="11"/>
      <x:color rgb="FF182B49"/>
      <x:name val="Arial"/>
    </x:font>
    <x:font>
      <x:sz val="11"/>
      <x:color rgb="FF135CC5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2B49"/>
      </x:patternFill>
    </x:fill>
    <x:fill>
      <x:patternFill patternType="solid">
        <x:fgColor rgb="FFDCE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203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/>
  </x:cellXfs>
  <x:cellStyles count="1">
    <x:cellStyle name="Normal" xfId="0"/>
  </x:cellStyles>
  <x:dxfs count="2">
    <x:dxf>
      <x:font>
        <x:color rgb="FFA13118"/>
      </x:font>
      <x:fill>
        <x:patternFill patternType="solid">
          <x:bgColor rgb="FFFFE2DB"/>
        </x:patternFill>
      </x:fill>
    </x:dxf>
    <x:dxf>
      <x:fill>
        <x:patternFill patternType="solid">
          <x:bgColor rgb="FFFFE2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446c35ebb46b7" /><Relationship Type="http://schemas.openxmlformats.org/officeDocument/2006/relationships/theme" Target="/xl/theme/theme1.xml" Id="R0cff39bce948404b" /><Relationship Type="http://schemas.openxmlformats.org/officeDocument/2006/relationships/sharedStrings" Target="/xl/sharedStrings.xml" Id="R619b370fa40d498c" /><Relationship Type="http://schemas.openxmlformats.org/officeDocument/2006/relationships/worksheet" Target="/xl/worksheets/sheet1.xml" Id="Rfe86868a55eb4afd" /><Relationship Type="http://schemas.openxmlformats.org/officeDocument/2006/relationships/worksheet" Target="/xl/worksheets/sheet2.xml" Id="R3ab522d73a004c7e" /><Relationship Type="http://schemas.openxmlformats.org/officeDocument/2006/relationships/worksheet" Target="/xl/worksheets/sheet3.xml" Id="R871d5be3c94e496c" /><Relationship Type="http://schemas.openxmlformats.org/officeDocument/2006/relationships/worksheet" Target="/xl/worksheets/sheet4.xml" Id="R784b94bd74284403" /><Relationship Type="http://schemas.openxmlformats.org/officeDocument/2006/relationships/worksheet" Target="/xl/worksheets/sheet5.xml" Id="R05a3d0e8afb14dfe" /><Relationship Type="http://schemas.openxmlformats.org/officeDocument/2006/relationships/worksheet" Target="/xl/worksheets/sheet6.xml" Id="R6bfe5e399ceb4f85" /><Relationship Type="http://schemas.openxmlformats.org/officeDocument/2006/relationships/worksheet" Target="/xl/worksheets/sheet7.xml" Id="Rd8b32b39e7184391" /><Relationship Type="http://schemas.openxmlformats.org/officeDocument/2006/relationships/worksheet" Target="/xl/worksheets/sheet8.xml" Id="R19ddd578dc7a40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00b4dd41e9484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ece49449fed4f3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60dee1bf526475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e393a32960e4e3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e04246aaa5e245c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381ac7fded4e45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Enrollments by acquisition month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Enrollments</c:v>
          </c:tx>
          <c:invertIfNegative val="0"/>
          <c:cat>
            <c:strRef>
              <c:f>'Executive'!$A$23:$A$34</c:f>
              <c:strCache>
                <c:ptCount val="0"/>
              </c:strCache>
            </c:strRef>
          </c:cat>
          <c:val>
            <c:numRef>
              <c:f>'Executive'!$B$23:$B$34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Confirmed enrollments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Enrolled</c:v>
          </c:tx>
          <c:invertIfNegative val="0"/>
          <c:cat>
            <c:strRef>
              <c:f>'Channels'!$A$5:$A$11</c:f>
              <c:strCache>
                <c:ptCount val="0"/>
              </c:strCache>
            </c:strRef>
          </c:cat>
          <c:val>
            <c:numRef>
              <c:f>'Channels'!$F$5:$F$11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Unique students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Unique students</c:v>
          </c:tx>
          <c:invertIfNegative val="0"/>
          <c:cat>
            <c:strRef>
              <c:f>'Funnel'!$A$5:$A$10</c:f>
              <c:strCache>
                <c:ptCount val="0"/>
              </c:strCache>
            </c:strRef>
          </c:cat>
          <c:val>
            <c:numRef>
              <c:f>'Funnel'!$B$5:$B$10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Confirmed enrollments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Enrolled</c:v>
          </c:tx>
          <c:invertIfNegative val="0"/>
          <c:cat>
            <c:strRef>
              <c:f>'Institutions'!$A$5:$A$28</c:f>
              <c:strCache>
                <c:ptCount val="0"/>
              </c:strCache>
            </c:strRef>
          </c:cat>
          <c:val>
            <c:numRef>
              <c:f>'Institutions'!$F$5:$F$28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Lead-to-enrollment rate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Conversion</c:v>
          </c:tx>
          <c:invertIfNegative val="0"/>
          <c:cat>
            <c:strRef>
              <c:f>'Geography'!$A$5:$A$12</c:f>
              <c:strCache>
                <c:ptCount val="0"/>
              </c:strCache>
            </c:strRef>
          </c:cat>
          <c:val>
            <c:numRef>
              <c:f>'Geography'!$E$5:$E$12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Recommended allocation (INR)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Allocation INR</c:v>
          </c:tx>
          <c:invertIfNegative val="0"/>
          <c:cat>
            <c:strRef>
              <c:f>'Scenarios'!$A$16:$A$22</c:f>
              <c:strCache>
                <c:ptCount val="0"/>
              </c:strCache>
            </c:strRef>
          </c:cat>
          <c:val>
            <c:numRef>
              <c:f>'Scenarios'!$J$16:$J$22</c:f>
              <c:numCache>
                <c:formatCode>"₹"#,##0.00;("₹"#,##0.00);"–"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00b4dd41e9484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ce49449fed4f3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0dee1bf526475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393a32960e4e3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4246aaa5e245ce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14</xdr:col>
      <xdr:colOff>0</xdr:colOff>
      <xdr:row>4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1ac7fded4e452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mpaignScorecards" displayName="CampaignScorecards" ref="A4:Q124" headerRowCount="1" totalsRowCount="0" totalsRowShown="0">
  <x:tableColumns count="17">
    <x:tableColumn id="1" name="Campaign"/>
    <x:tableColumn id="2" name="Institution"/>
    <x:tableColumn id="3" name="Channel"/>
    <x:tableColumn id="4" name="Month"/>
    <x:tableColumn id="5" name="Budget INR"/>
    <x:tableColumn id="6" name="Spend INR"/>
    <x:tableColumn id="7" name="Leads"/>
    <x:tableColumn id="8" name="Qualified"/>
    <x:tableColumn id="9" name="Started"/>
    <x:tableColumn id="10" name="Completed"/>
    <x:tableColumn id="11" name="Offers"/>
    <x:tableColumn id="12" name="Enrolled"/>
    <x:tableColumn id="13" name="CPQL INR"/>
    <x:tableColumn id="14" name="CPA INR"/>
    <x:tableColumn id="15" name="CPE INR"/>
    <x:tableColumn id="16" name="Lead → enroll"/>
    <x:tableColumn id="17" name="Matu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nnelsTable" displayName="ChannelsTable" ref="A4:J11" headerRowCount="1" totalsRowCount="0" totalsRowShown="0">
  <x:tableColumns count="10">
    <x:tableColumn id="1" name="Segment"/>
    <x:tableColumn id="2" name="Spend INR"/>
    <x:tableColumn id="3" name="Leads"/>
    <x:tableColumn id="4" name="Qualified"/>
    <x:tableColumn id="5" name="Completed"/>
    <x:tableColumn id="6" name="Enrolled"/>
    <x:tableColumn id="7" name="CPQL INR"/>
    <x:tableColumn id="8" name="CPA INR"/>
    <x:tableColumn id="9" name="CPE INR"/>
    <x:tableColumn id="10" name="Conver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itutionsTable" displayName="InstitutionsTable" ref="A4:J28" headerRowCount="1" totalsRowCount="0" totalsRowShown="0">
  <x:tableColumns count="10">
    <x:tableColumn id="1" name="Segment"/>
    <x:tableColumn id="2" name="Spend INR"/>
    <x:tableColumn id="3" name="Leads"/>
    <x:tableColumn id="4" name="Qualified"/>
    <x:tableColumn id="5" name="Completed"/>
    <x:tableColumn id="6" name="Enrolled"/>
    <x:tableColumn id="7" name="CPQL INR"/>
    <x:tableColumn id="8" name="CPA INR"/>
    <x:tableColumn id="9" name="CPE INR"/>
    <x:tableColumn id="10" name="Conver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rritories" displayName="Territories" ref="A4:E12" headerRowCount="1" totalsRowCount="0" totalsRowShown="0">
  <x:tableColumns count="5">
    <x:tableColumn id="1" name="Market"/>
    <x:tableColumn id="2" name="Leads"/>
    <x:tableColumn id="3" name="Completed"/>
    <x:tableColumn id="4" name="Enrolled"/>
    <x:tableColumn id="5" name="Con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ab66f91e2a48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fe6d772f534c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d35b44546c5495c" /><Relationship Type="http://schemas.openxmlformats.org/officeDocument/2006/relationships/table" Target="/xl/tables/table2.xml" Id="Rb0b4738a6ec24d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94c1d29d24e4f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1a48e1736f0244c1" /><Relationship Type="http://schemas.openxmlformats.org/officeDocument/2006/relationships/table" Target="/xl/tables/table3.xml" Id="R70a07fd46bc54e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896d8909a4549f7" /><Relationship Type="http://schemas.openxmlformats.org/officeDocument/2006/relationships/table" Target="/xl/tables/table4.xml" Id="R54660766678e42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0c72ebfa864344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8" customHeight="1">
      <x:c r="A1" s="3" t="str">
        <x:v>AdmissionFlow | Executive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4" t="str">
        <x:v>PORTFOLIO SIMULATION · CampusGrowth Analytics · INR · Snapshot 31 Dec 2025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4" customHeight="1">
      <x:c r="A4" s="7" t="str">
        <x:v>Metric</x:v>
      </x:c>
      <x:c r="B4" s="7" t="str">
        <x:v>Observed value</x:v>
      </x:c>
      <x:c r="C4" s="7" t="str">
        <x:v>Python control</x:v>
      </x:c>
      <x:c r="D4" s="7" t="str">
        <x:v>Difference</x:v>
      </x:c>
      <x:c r="E4" s="1"/>
      <x:c r="F4" s="1"/>
      <x:c r="G4" s="1"/>
      <x:c r="H4" s="1"/>
      <x:c r="I4" s="1"/>
      <x:c r="J4" s="1"/>
    </x:row>
    <x:row r="5">
      <x:c r="A5" s="1" t="str">
        <x:v>Marketing spend</x:v>
      </x:c>
      <x:c r="B5" s="8" t="n">
        <x:f>SUM(Campaigns!F5:F124)</x:f>
        <x:v>18938788.13000001</x:v>
      </x:c>
      <x:c r="C5" s="8" t="n">
        <x:v>18938788.130000003</x:v>
      </x:c>
      <x:c r="D5" s="10" t="n">
        <x:f>ROUND(B5-C5,6)</x:f>
        <x:v>0</x:v>
      </x:c>
      <x:c r="E5" s="1"/>
      <x:c r="F5" s="1"/>
      <x:c r="G5" s="1"/>
      <x:c r="H5" s="1"/>
      <x:c r="I5" s="1"/>
      <x:c r="J5" s="1"/>
    </x:row>
    <x:row r="6">
      <x:c r="A6" s="1" t="str">
        <x:v>Unique leads</x:v>
      </x:c>
      <x:c r="B6" s="1" t="n">
        <x:f>SUM(Campaigns!G5:G124)</x:f>
        <x:v>50000</x:v>
      </x:c>
      <x:c r="C6" s="1" t="n">
        <x:v>50000</x:v>
      </x:c>
      <x:c r="D6" s="10" t="n">
        <x:f>ROUND(B6-C6,6)</x:f>
        <x:v>0</x:v>
      </x:c>
      <x:c r="E6" s="1"/>
      <x:c r="F6" s="1"/>
      <x:c r="G6" s="1"/>
      <x:c r="H6" s="1"/>
      <x:c r="I6" s="1"/>
      <x:c r="J6" s="1"/>
    </x:row>
    <x:row r="7">
      <x:c r="A7" s="1" t="str">
        <x:v>Completed applications</x:v>
      </x:c>
      <x:c r="B7" s="1" t="n">
        <x:f>SUM(Campaigns!J5:J124)</x:f>
        <x:v>13792</x:v>
      </x:c>
      <x:c r="C7" s="1" t="n">
        <x:v>13792</x:v>
      </x:c>
      <x:c r="D7" s="10" t="n">
        <x:f>ROUND(B7-C7,6)</x:f>
        <x:v>0</x:v>
      </x:c>
      <x:c r="E7" s="1"/>
      <x:c r="F7" s="1"/>
      <x:c r="G7" s="1"/>
      <x:c r="H7" s="1"/>
      <x:c r="I7" s="1"/>
      <x:c r="J7" s="1"/>
    </x:row>
    <x:row r="8">
      <x:c r="A8" s="1" t="str">
        <x:v>Confirmed enrollments</x:v>
      </x:c>
      <x:c r="B8" s="1" t="n">
        <x:f>SUM(Campaigns!L5:L124)</x:f>
        <x:v>5627</x:v>
      </x:c>
      <x:c r="C8" s="1" t="n">
        <x:v>5627</x:v>
      </x:c>
      <x:c r="D8" s="10" t="n">
        <x:f>ROUND(B8-C8,6)</x:f>
        <x:v>0</x:v>
      </x:c>
      <x:c r="E8" s="1"/>
      <x:c r="F8" s="1"/>
      <x:c r="G8" s="1"/>
      <x:c r="H8" s="1"/>
      <x:c r="I8" s="1"/>
      <x:c r="J8" s="1"/>
    </x:row>
    <x:row r="9">
      <x:c r="A9" s="1" t="str">
        <x:v>Cost per enrollment</x:v>
      </x:c>
      <x:c r="B9" s="8" t="n">
        <x:f>IF(B8=0,"n.a.",B5/B8)</x:f>
        <x:v>3365.6989745868154</x:v>
      </x:c>
      <x:c r="C9" s="8" t="n">
        <x:v>3365.698974586814</x:v>
      </x:c>
      <x:c r="D9" s="10" t="n">
        <x:f>ROUND(B9-C9,6)</x:f>
        <x:v>0</x:v>
      </x:c>
      <x:c r="E9" s="1"/>
      <x:c r="F9" s="1"/>
      <x:c r="G9" s="1"/>
      <x:c r="H9" s="1"/>
      <x:c r="I9" s="1"/>
      <x:c r="J9" s="1"/>
    </x:row>
    <x:row r="10">
      <x:c r="A10" s="1" t="str">
        <x:v>Lead-to-enrollment</x:v>
      </x:c>
      <x:c r="B10" s="9" t="n">
        <x:f>IF(B6=0,"n.a.",B8/B6)</x:f>
        <x:v>0.11254</x:v>
      </x:c>
      <x:c r="C10" s="9" t="n">
        <x:v>0.11254</x:v>
      </x:c>
      <x:c r="D10" s="10" t="n">
        <x:f>ROUND(B10-C10,6)</x:f>
        <x:v>0</x:v>
      </x:c>
      <x:c r="E10" s="1"/>
      <x:c r="F10" s="1"/>
      <x:c r="G10" s="1"/>
      <x:c r="H10" s="1"/>
      <x:c r="I10" s="1"/>
      <x:c r="J10" s="1"/>
    </x:row>
    <x:row r="11">
      <x:c r="A11" s="1" t="str">
        <x:v>Budget utilization</x:v>
      </x:c>
      <x:c r="B11" s="9" t="n">
        <x:f>B5/SUM(Campaigns!E5:E124)</x:f>
        <x:v>0.8941616492757469</x:v>
      </x:c>
      <x:c r="C11" s="9" t="n">
        <x:v>0.8941616492757466</x:v>
      </x:c>
      <x:c r="D11" s="10" t="n">
        <x:f>ROUND(B11-C11,6)</x:f>
        <x:v>0</x:v>
      </x:c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 t="str">
        <x:v>Decision: investigate costly mature campaigns and application follow-up.</x:v>
      </x:c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 t="str">
        <x:v>C007: 18.3% completed applications vs 29.1% mature pooled benchmark.</x:v>
      </x:c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 t="str">
        <x:v>Do not infer real-world effectiveness or causal improvement from simulation.</x:v>
      </x:c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 t="str">
        <x:v>Month</x:v>
      </x:c>
      <x:c r="B22" s="1" t="str">
        <x:v>Enrollments</x:v>
      </x:c>
      <x:c r="C22" s="1"/>
      <x:c r="D22" s="1"/>
      <x:c r="E22" s="1"/>
      <x:c r="F22" s="1"/>
      <x:c r="G22" s="1"/>
      <x:c r="H22" s="1"/>
      <x:c r="I22" s="1"/>
      <x:c r="J22" s="1"/>
    </x:row>
    <x:row r="23">
      <x:c r="A23" s="1" t="str">
        <x:v>2025-01</x:v>
      </x:c>
      <x:c r="B23" s="1" t="n">
        <x:f>SUMIF(Campaigns!D$5:D$124,A23,Campaigns!L$5:L$124)</x:f>
        <x:v>435</x:v>
      </x:c>
      <x:c r="C23" s="1"/>
      <x:c r="D23" s="1"/>
      <x:c r="E23" s="1"/>
      <x:c r="F23" s="1"/>
      <x:c r="G23" s="1"/>
      <x:c r="H23" s="1"/>
      <x:c r="I23" s="1"/>
      <x:c r="J23" s="1"/>
    </x:row>
    <x:row r="24">
      <x:c r="A24" s="1" t="str">
        <x:v>2025-02</x:v>
      </x:c>
      <x:c r="B24" s="1" t="n">
        <x:f>SUMIF(Campaigns!D$5:D$124,A24,Campaigns!L$5:L$124)</x:f>
        <x:v>598</x:v>
      </x:c>
      <x:c r="C24" s="1"/>
      <x:c r="D24" s="1"/>
      <x:c r="E24" s="1"/>
      <x:c r="F24" s="1"/>
      <x:c r="G24" s="1"/>
      <x:c r="H24" s="1"/>
      <x:c r="I24" s="1"/>
      <x:c r="J24" s="1"/>
    </x:row>
    <x:row r="25">
      <x:c r="A25" s="1" t="str">
        <x:v>2025-03</x:v>
      </x:c>
      <x:c r="B25" s="1" t="n">
        <x:f>SUMIF(Campaigns!D$5:D$124,A25,Campaigns!L$5:L$124)</x:f>
        <x:v>497</x:v>
      </x:c>
      <x:c r="C25" s="1"/>
      <x:c r="D25" s="1"/>
      <x:c r="E25" s="1"/>
      <x:c r="F25" s="1"/>
      <x:c r="G25" s="1"/>
      <x:c r="H25" s="1"/>
      <x:c r="I25" s="1"/>
      <x:c r="J25" s="1"/>
    </x:row>
    <x:row r="26">
      <x:c r="A26" s="1" t="str">
        <x:v>2025-04</x:v>
      </x:c>
      <x:c r="B26" s="1" t="n">
        <x:f>SUMIF(Campaigns!D$5:D$124,A26,Campaigns!L$5:L$124)</x:f>
        <x:v>539</x:v>
      </x:c>
      <x:c r="C26" s="1"/>
      <x:c r="D26" s="1"/>
      <x:c r="E26" s="1"/>
      <x:c r="F26" s="1"/>
      <x:c r="G26" s="1"/>
      <x:c r="H26" s="1"/>
      <x:c r="I26" s="1"/>
      <x:c r="J26" s="1"/>
    </x:row>
    <x:row r="27">
      <x:c r="A27" s="1" t="str">
        <x:v>2025-05</x:v>
      </x:c>
      <x:c r="B27" s="1" t="n">
        <x:f>SUMIF(Campaigns!D$5:D$124,A27,Campaigns!L$5:L$124)</x:f>
        <x:v>589</x:v>
      </x:c>
      <x:c r="C27" s="1"/>
      <x:c r="D27" s="1"/>
      <x:c r="E27" s="1"/>
      <x:c r="F27" s="1"/>
      <x:c r="G27" s="1"/>
      <x:c r="H27" s="1"/>
      <x:c r="I27" s="1"/>
      <x:c r="J27" s="1"/>
    </x:row>
    <x:row r="28">
      <x:c r="A28" s="1" t="str">
        <x:v>2025-06</x:v>
      </x:c>
      <x:c r="B28" s="1" t="n">
        <x:f>SUMIF(Campaigns!D$5:D$124,A28,Campaigns!L$5:L$124)</x:f>
        <x:v>529</x:v>
      </x:c>
      <x:c r="C28" s="1"/>
      <x:c r="D28" s="1"/>
      <x:c r="E28" s="1"/>
      <x:c r="F28" s="1"/>
      <x:c r="G28" s="1"/>
      <x:c r="H28" s="1"/>
      <x:c r="I28" s="1"/>
      <x:c r="J28" s="1"/>
    </x:row>
    <x:row r="29">
      <x:c r="A29" s="1" t="str">
        <x:v>2025-07</x:v>
      </x:c>
      <x:c r="B29" s="1" t="n">
        <x:f>SUMIF(Campaigns!D$5:D$124,A29,Campaigns!L$5:L$124)</x:f>
        <x:v>451</x:v>
      </x:c>
      <x:c r="C29" s="1"/>
      <x:c r="D29" s="1"/>
      <x:c r="E29" s="1"/>
      <x:c r="F29" s="1"/>
      <x:c r="G29" s="1"/>
      <x:c r="H29" s="1"/>
      <x:c r="I29" s="1"/>
      <x:c r="J29" s="1"/>
    </x:row>
    <x:row r="30">
      <x:c r="A30" s="1" t="str">
        <x:v>2025-08</x:v>
      </x:c>
      <x:c r="B30" s="1" t="n">
        <x:f>SUMIF(Campaigns!D$5:D$124,A30,Campaigns!L$5:L$124)</x:f>
        <x:v>540</x:v>
      </x:c>
      <x:c r="C30" s="1"/>
      <x:c r="D30" s="1"/>
      <x:c r="E30" s="1"/>
      <x:c r="F30" s="1"/>
      <x:c r="G30" s="1"/>
      <x:c r="H30" s="1"/>
      <x:c r="I30" s="1"/>
      <x:c r="J30" s="1"/>
    </x:row>
    <x:row r="31">
      <x:c r="A31" s="1" t="str">
        <x:v>2025-09</x:v>
      </x:c>
      <x:c r="B31" s="1" t="n">
        <x:f>SUMIF(Campaigns!D$5:D$124,A31,Campaigns!L$5:L$124)</x:f>
        <x:v>475</x:v>
      </x:c>
      <x:c r="C31" s="1"/>
      <x:c r="D31" s="1"/>
      <x:c r="E31" s="1"/>
      <x:c r="F31" s="1"/>
      <x:c r="G31" s="1"/>
      <x:c r="H31" s="1"/>
      <x:c r="I31" s="1"/>
      <x:c r="J31" s="1"/>
    </x:row>
    <x:row r="32">
      <x:c r="A32" s="1" t="str">
        <x:v>2025-10</x:v>
      </x:c>
      <x:c r="B32" s="1" t="n">
        <x:f>SUMIF(Campaigns!D$5:D$124,A32,Campaigns!L$5:L$124)</x:f>
        <x:v>578</x:v>
      </x:c>
      <x:c r="C32" s="1"/>
      <x:c r="D32" s="1"/>
      <x:c r="E32" s="1"/>
      <x:c r="F32" s="1"/>
      <x:c r="G32" s="1"/>
      <x:c r="H32" s="1"/>
      <x:c r="I32" s="1"/>
      <x:c r="J32" s="1"/>
    </x:row>
    <x:row r="33">
      <x:c r="A33" s="1" t="str">
        <x:v>2025-11</x:v>
      </x:c>
      <x:c r="B33" s="1" t="n">
        <x:f>SUMIF(Campaigns!D$5:D$124,A33,Campaigns!L$5:L$124)</x:f>
        <x:v>378</x:v>
      </x:c>
      <x:c r="C33" s="1"/>
      <x:c r="D33" s="1"/>
      <x:c r="E33" s="1"/>
      <x:c r="F33" s="1"/>
      <x:c r="G33" s="1"/>
      <x:c r="H33" s="1"/>
      <x:c r="I33" s="1"/>
      <x:c r="J33" s="1"/>
    </x:row>
    <x:row r="34">
      <x:c r="A34" s="1" t="str">
        <x:v>2025-12</x:v>
      </x:c>
      <x:c r="B34" s="1" t="n">
        <x:f>SUMIF(Campaigns!D$5:D$124,A34,Campaigns!L$5:L$124)</x:f>
        <x:v>18</x:v>
      </x:c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</x:row>
  </x:sheetData>
  <x:mergeCells>
    <x:mergeCell ref="A1:J1"/>
    <x:mergeCell ref="A2:J2"/>
  </x:mergeCells>
  <x:conditionalFormatting sqref="D5:D11">
    <x:cfRule type="cellIs" dxfId="1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efab66f91e2a48f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2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8" customHeight="1">
      <x:c r="A1" s="3" t="str">
        <x:v>Campaign scorecards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4" t="str">
        <x:v>PORTFOLIO SIMULATION · CampusGrowth Analytics · INR · Snapshot 31 Dec 2025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34" customHeight="1">
      <x:c r="A4" s="7" t="str">
        <x:v>Campaign</x:v>
      </x:c>
      <x:c r="B4" s="7" t="str">
        <x:v>Institution</x:v>
      </x:c>
      <x:c r="C4" s="7" t="str">
        <x:v>Channel</x:v>
      </x:c>
      <x:c r="D4" s="7" t="str">
        <x:v>Month</x:v>
      </x:c>
      <x:c r="E4" s="7" t="str">
        <x:v>Budget INR</x:v>
      </x:c>
      <x:c r="F4" s="7" t="str">
        <x:v>Spend INR</x:v>
      </x:c>
      <x:c r="G4" s="7" t="str">
        <x:v>Leads</x:v>
      </x:c>
      <x:c r="H4" s="7" t="str">
        <x:v>Qualified</x:v>
      </x:c>
      <x:c r="I4" s="7" t="str">
        <x:v>Started</x:v>
      </x:c>
      <x:c r="J4" s="7" t="str">
        <x:v>Completed</x:v>
      </x:c>
      <x:c r="K4" s="7" t="str">
        <x:v>Offers</x:v>
      </x:c>
      <x:c r="L4" s="7" t="str">
        <x:v>Enrolled</x:v>
      </x:c>
      <x:c r="M4" s="7" t="str">
        <x:v>CPQL INR</x:v>
      </x:c>
      <x:c r="N4" s="7" t="str">
        <x:v>CPA INR</x:v>
      </x:c>
      <x:c r="O4" s="7" t="str">
        <x:v>CPE INR</x:v>
      </x:c>
      <x:c r="P4" s="7" t="str">
        <x:v>Lead → enroll</x:v>
      </x:c>
      <x:c r="Q4" s="7" t="str">
        <x:v>Mature</x:v>
      </x:c>
    </x:row>
    <x:row r="5">
      <x:c r="A5" s="1" t="str">
        <x:v>C001</x:v>
      </x:c>
      <x:c r="B5" s="1" t="str">
        <x:v>I001</x:v>
      </x:c>
      <x:c r="C5" s="1" t="str">
        <x:v>Google Search</x:v>
      </x:c>
      <x:c r="D5" s="1" t="str">
        <x:v>2025-01</x:v>
      </x:c>
      <x:c r="E5" s="8" t="n">
        <x:v>198032</x:v>
      </x:c>
      <x:c r="F5" s="8" t="n">
        <x:v>164657.4</x:v>
      </x:c>
      <x:c r="G5" s="1" t="n">
        <x:v>287</x:v>
      </x:c>
      <x:c r="H5" s="1" t="n">
        <x:v>187</x:v>
      </x:c>
      <x:c r="I5" s="1" t="n">
        <x:v>138</x:v>
      </x:c>
      <x:c r="J5" s="1" t="n">
        <x:v>85</x:v>
      </x:c>
      <x:c r="K5" s="1" t="n">
        <x:v>65</x:v>
      </x:c>
      <x:c r="L5" s="1" t="n">
        <x:v>32</x:v>
      </x:c>
      <x:c r="M5" s="8" t="n">
        <x:f>IF(H5=0,"n.a.",F5/H5)</x:f>
        <x:v>880.5208556149732</x:v>
      </x:c>
      <x:c r="N5" s="8" t="n">
        <x:f>IF(J5=0,"n.a.",F5/J5)</x:f>
        <x:v>1937.145882352941</x:v>
      </x:c>
      <x:c r="O5" s="8" t="n">
        <x:f>IF(L5=0,"n.a.",F5/L5)</x:f>
        <x:v>5145.54375</x:v>
      </x:c>
      <x:c r="P5" s="9" t="n">
        <x:f>IF(G5=0,"n.a.",L5/G5)</x:f>
        <x:v>0.11149825783972125</x:v>
      </x:c>
      <x:c r="Q5" s="1" t="n">
        <x:v>1</x:v>
      </x:c>
    </x:row>
    <x:row r="6">
      <x:c r="A6" s="1" t="str">
        <x:v>C002</x:v>
      </x:c>
      <x:c r="B6" s="1" t="str">
        <x:v>I002</x:v>
      </x:c>
      <x:c r="C6" s="1" t="str">
        <x:v>Meta Ads</x:v>
      </x:c>
      <x:c r="D6" s="1" t="str">
        <x:v>2025-01</x:v>
      </x:c>
      <x:c r="E6" s="8" t="n">
        <x:v>228687</x:v>
      </x:c>
      <x:c r="F6" s="8" t="n">
        <x:v>152306.92</x:v>
      </x:c>
      <x:c r="G6" s="1" t="n">
        <x:v>178</x:v>
      </x:c>
      <x:c r="H6" s="1" t="n">
        <x:v>88</x:v>
      </x:c>
      <x:c r="I6" s="1" t="n">
        <x:v>60</x:v>
      </x:c>
      <x:c r="J6" s="1" t="n">
        <x:v>41</x:v>
      </x:c>
      <x:c r="K6" s="1" t="n">
        <x:v>32</x:v>
      </x:c>
      <x:c r="L6" s="1" t="n">
        <x:v>17</x:v>
      </x:c>
      <x:c r="M6" s="8" t="n">
        <x:f>IF(H6=0,"n.a.",F6/H6)</x:f>
        <x:v>1730.7604545454546</x:v>
      </x:c>
      <x:c r="N6" s="8" t="n">
        <x:f>IF(J6=0,"n.a.",F6/J6)</x:f>
        <x:v>3714.8029268292685</x:v>
      </x:c>
      <x:c r="O6" s="8" t="n">
        <x:f>IF(L6=0,"n.a.",F6/L6)</x:f>
        <x:v>8959.230588235296</x:v>
      </x:c>
      <x:c r="P6" s="9" t="n">
        <x:f>IF(G6=0,"n.a.",L6/G6)</x:f>
        <x:v>0.09550561797752809</x:v>
      </x:c>
      <x:c r="Q6" s="1" t="n">
        <x:v>1</x:v>
      </x:c>
    </x:row>
    <x:row r="7">
      <x:c r="A7" s="1" t="str">
        <x:v>C003</x:v>
      </x:c>
      <x:c r="B7" s="1" t="str">
        <x:v>I003</x:v>
      </x:c>
      <x:c r="C7" s="1" t="str">
        <x:v>Organic Search</x:v>
      </x:c>
      <x:c r="D7" s="1" t="str">
        <x:v>2025-01</x:v>
      </x:c>
      <x:c r="E7" s="8" t="n">
        <x:v>199471</x:v>
      </x:c>
      <x:c r="F7" s="8" t="n">
        <x:v>210190.97</x:v>
      </x:c>
      <x:c r="G7" s="1" t="n">
        <x:v>299</x:v>
      </x:c>
      <x:c r="H7" s="1" t="n">
        <x:v>179</x:v>
      </x:c>
      <x:c r="I7" s="1" t="n">
        <x:v>131</x:v>
      </x:c>
      <x:c r="J7" s="1" t="n">
        <x:v>87</x:v>
      </x:c>
      <x:c r="K7" s="1" t="n">
        <x:v>65</x:v>
      </x:c>
      <x:c r="L7" s="1" t="n">
        <x:v>44</x:v>
      </x:c>
      <x:c r="M7" s="8" t="n">
        <x:f>IF(H7=0,"n.a.",F7/H7)</x:f>
        <x:v>1174.2512290502793</x:v>
      </x:c>
      <x:c r="N7" s="8" t="n">
        <x:f>IF(J7=0,"n.a.",F7/J7)</x:f>
        <x:v>2415.9881609195404</x:v>
      </x:c>
      <x:c r="O7" s="8" t="n">
        <x:f>IF(L7=0,"n.a.",F7/L7)</x:f>
        <x:v>4777.0675</x:v>
      </x:c>
      <x:c r="P7" s="9" t="n">
        <x:f>IF(G7=0,"n.a.",L7/G7)</x:f>
        <x:v>0.14715719063545152</x:v>
      </x:c>
      <x:c r="Q7" s="1" t="n">
        <x:v>1</x:v>
      </x:c>
    </x:row>
    <x:row r="8">
      <x:c r="A8" s="1" t="str">
        <x:v>C004</x:v>
      </x:c>
      <x:c r="B8" s="1" t="str">
        <x:v>I004</x:v>
      </x:c>
      <x:c r="C8" s="1" t="str">
        <x:v>Referral</x:v>
      </x:c>
      <x:c r="D8" s="1" t="str">
        <x:v>2025-01</x:v>
      </x:c>
      <x:c r="E8" s="8" t="n">
        <x:v>204795</x:v>
      </x:c>
      <x:c r="F8" s="8" t="n">
        <x:v>207227.62</x:v>
      </x:c>
      <x:c r="G8" s="1" t="n">
        <x:v>319</x:v>
      </x:c>
      <x:c r="H8" s="1" t="n">
        <x:v>218</x:v>
      </x:c>
      <x:c r="I8" s="1" t="n">
        <x:v>151</x:v>
      </x:c>
      <x:c r="J8" s="1" t="n">
        <x:v>82</x:v>
      </x:c>
      <x:c r="K8" s="1" t="n">
        <x:v>62</x:v>
      </x:c>
      <x:c r="L8" s="1" t="n">
        <x:v>29</x:v>
      </x:c>
      <x:c r="M8" s="8" t="n">
        <x:f>IF(H8=0,"n.a.",F8/H8)</x:f>
        <x:v>950.5854128440367</x:v>
      </x:c>
      <x:c r="N8" s="8" t="n">
        <x:f>IF(J8=0,"n.a.",F8/J8)</x:f>
        <x:v>2527.1660975609757</x:v>
      </x:c>
      <x:c r="O8" s="8" t="n">
        <x:f>IF(L8=0,"n.a.",F8/L8)</x:f>
        <x:v>7145.78</x:v>
      </x:c>
      <x:c r="P8" s="9" t="n">
        <x:f>IF(G8=0,"n.a.",L8/G8)</x:f>
        <x:v>0.09090909090909091</x:v>
      </x:c>
      <x:c r="Q8" s="1" t="n">
        <x:v>1</x:v>
      </x:c>
    </x:row>
    <x:row r="9">
      <x:c r="A9" s="1" t="str">
        <x:v>C005</x:v>
      </x:c>
      <x:c r="B9" s="1" t="str">
        <x:v>I005</x:v>
      </x:c>
      <x:c r="C9" s="1" t="str">
        <x:v>Email</x:v>
      </x:c>
      <x:c r="D9" s="1" t="str">
        <x:v>2025-01</x:v>
      </x:c>
      <x:c r="E9" s="8" t="n">
        <x:v>197733</x:v>
      </x:c>
      <x:c r="F9" s="8" t="n">
        <x:v>130250.98</x:v>
      </x:c>
      <x:c r="G9" s="1" t="n">
        <x:v>465</x:v>
      </x:c>
      <x:c r="H9" s="1" t="n">
        <x:v>273</x:v>
      </x:c>
      <x:c r="I9" s="1" t="n">
        <x:v>183</x:v>
      </x:c>
      <x:c r="J9" s="1" t="n">
        <x:v>106</x:v>
      </x:c>
      <x:c r="K9" s="1" t="n">
        <x:v>82</x:v>
      </x:c>
      <x:c r="L9" s="1" t="n">
        <x:v>35</x:v>
      </x:c>
      <x:c r="M9" s="8" t="n">
        <x:f>IF(H9=0,"n.a.",F9/H9)</x:f>
        <x:v>477.1098168498168</x:v>
      </x:c>
      <x:c r="N9" s="8" t="n">
        <x:f>IF(J9=0,"n.a.",F9/J9)</x:f>
        <x:v>1228.782830188679</x:v>
      </x:c>
      <x:c r="O9" s="8" t="n">
        <x:f>IF(L9=0,"n.a.",F9/L9)</x:f>
        <x:v>3721.4565714285714</x:v>
      </x:c>
      <x:c r="P9" s="9" t="n">
        <x:f>IF(G9=0,"n.a.",L9/G9)</x:f>
        <x:v>0.07526881720430108</x:v>
      </x:c>
      <x:c r="Q9" s="1" t="n">
        <x:v>1</x:v>
      </x:c>
    </x:row>
    <x:row r="10">
      <x:c r="A10" s="1" t="str">
        <x:v>C006</x:v>
      </x:c>
      <x:c r="B10" s="1" t="str">
        <x:v>I006</x:v>
      </x:c>
      <x:c r="C10" s="1" t="str">
        <x:v>Education webinars</x:v>
      </x:c>
      <x:c r="D10" s="1" t="str">
        <x:v>2025-01</x:v>
      </x:c>
      <x:c r="E10" s="8" t="n">
        <x:v>193274</x:v>
      </x:c>
      <x:c r="F10" s="8" t="n">
        <x:v>125839.35</x:v>
      </x:c>
      <x:c r="G10" s="1" t="n">
        <x:v>407</x:v>
      </x:c>
      <x:c r="H10" s="1" t="n">
        <x:v>257</x:v>
      </x:c>
      <x:c r="I10" s="1" t="n">
        <x:v>191</x:v>
      </x:c>
      <x:c r="J10" s="1" t="n">
        <x:v>146</x:v>
      </x:c>
      <x:c r="K10" s="1" t="n">
        <x:v>118</x:v>
      </x:c>
      <x:c r="L10" s="1" t="n">
        <x:v>61</x:v>
      </x:c>
      <x:c r="M10" s="8" t="n">
        <x:f>IF(H10=0,"n.a.",F10/H10)</x:f>
        <x:v>489.6472762645915</x:v>
      </x:c>
      <x:c r="N10" s="8" t="n">
        <x:f>IF(J10=0,"n.a.",F10/J10)</x:f>
        <x:v>861.9133561643836</x:v>
      </x:c>
      <x:c r="O10" s="8" t="n">
        <x:f>IF(L10=0,"n.a.",F10/L10)</x:f>
        <x:v>2062.9401639344264</x:v>
      </x:c>
      <x:c r="P10" s="9" t="n">
        <x:f>IF(G10=0,"n.a.",L10/G10)</x:f>
        <x:v>0.14987714987714987</x:v>
      </x:c>
      <x:c r="Q10" s="1" t="n">
        <x:v>1</x:v>
      </x:c>
    </x:row>
    <x:row r="11">
      <x:c r="A11" s="1" t="str">
        <x:v>C007</x:v>
      </x:c>
      <x:c r="B11" s="1" t="str">
        <x:v>I007</x:v>
      </x:c>
      <x:c r="C11" s="1" t="str">
        <x:v>Display Ads</x:v>
      </x:c>
      <x:c r="D11" s="1" t="str">
        <x:v>2025-01</x:v>
      </x:c>
      <x:c r="E11" s="8" t="n">
        <x:v>237317</x:v>
      </x:c>
      <x:c r="F11" s="8" t="n">
        <x:v>251126.99</x:v>
      </x:c>
      <x:c r="G11" s="1" t="n">
        <x:v>349</x:v>
      </x:c>
      <x:c r="H11" s="1" t="n">
        <x:v>154</x:v>
      </x:c>
      <x:c r="I11" s="1" t="n">
        <x:v>102</x:v>
      </x:c>
      <x:c r="J11" s="1" t="n">
        <x:v>64</x:v>
      </x:c>
      <x:c r="K11" s="1" t="n">
        <x:v>50</x:v>
      </x:c>
      <x:c r="L11" s="1" t="n">
        <x:v>32</x:v>
      </x:c>
      <x:c r="M11" s="8" t="n">
        <x:f>IF(H11=0,"n.a.",F11/H11)</x:f>
        <x:v>1630.6947402597402</x:v>
      </x:c>
      <x:c r="N11" s="8" t="n">
        <x:f>IF(J11=0,"n.a.",F11/J11)</x:f>
        <x:v>3923.85921875</x:v>
      </x:c>
      <x:c r="O11" s="8" t="n">
        <x:f>IF(L11=0,"n.a.",F11/L11)</x:f>
        <x:v>7847.7184375</x:v>
      </x:c>
      <x:c r="P11" s="9" t="n">
        <x:f>IF(G11=0,"n.a.",L11/G11)</x:f>
        <x:v>0.09169054441260745</x:v>
      </x:c>
      <x:c r="Q11" s="1" t="n">
        <x:v>1</x:v>
      </x:c>
    </x:row>
    <x:row r="12">
      <x:c r="A12" s="1" t="str">
        <x:v>C008</x:v>
      </x:c>
      <x:c r="B12" s="1" t="str">
        <x:v>I008</x:v>
      </x:c>
      <x:c r="C12" s="1" t="str">
        <x:v>Google Search</x:v>
      </x:c>
      <x:c r="D12" s="1" t="str">
        <x:v>2025-01</x:v>
      </x:c>
      <x:c r="E12" s="8" t="n">
        <x:v>244768</x:v>
      </x:c>
      <x:c r="F12" s="8" t="n">
        <x:v>242607.41</x:v>
      </x:c>
      <x:c r="G12" s="1" t="n">
        <x:v>471</x:v>
      </x:c>
      <x:c r="H12" s="1" t="n">
        <x:v>281</x:v>
      </x:c>
      <x:c r="I12" s="1" t="n">
        <x:v>196</x:v>
      </x:c>
      <x:c r="J12" s="1" t="n">
        <x:v>145</x:v>
      </x:c>
      <x:c r="K12" s="1" t="n">
        <x:v>109</x:v>
      </x:c>
      <x:c r="L12" s="1" t="n">
        <x:v>61</x:v>
      </x:c>
      <x:c r="M12" s="8" t="n">
        <x:f>IF(H12=0,"n.a.",F12/H12)</x:f>
        <x:v>863.3715658362989</x:v>
      </x:c>
      <x:c r="N12" s="8" t="n">
        <x:f>IF(J12=0,"n.a.",F12/J12)</x:f>
        <x:v>1673.154551724138</x:v>
      </x:c>
      <x:c r="O12" s="8" t="n">
        <x:f>IF(L12=0,"n.a.",F12/L12)</x:f>
        <x:v>3977.170655737705</x:v>
      </x:c>
      <x:c r="P12" s="9" t="n">
        <x:f>IF(G12=0,"n.a.",L12/G12)</x:f>
        <x:v>0.12951167728237792</x:v>
      </x:c>
      <x:c r="Q12" s="1" t="n">
        <x:v>1</x:v>
      </x:c>
    </x:row>
    <x:row r="13">
      <x:c r="A13" s="1" t="str">
        <x:v>C009</x:v>
      </x:c>
      <x:c r="B13" s="1" t="str">
        <x:v>I009</x:v>
      </x:c>
      <x:c r="C13" s="1" t="str">
        <x:v>Meta Ads</x:v>
      </x:c>
      <x:c r="D13" s="1" t="str">
        <x:v>2025-01</x:v>
      </x:c>
      <x:c r="E13" s="8" t="n">
        <x:v>157797</x:v>
      </x:c>
      <x:c r="F13" s="8" t="n">
        <x:v>120817.24</x:v>
      </x:c>
      <x:c r="G13" s="1" t="n">
        <x:v>412</x:v>
      </x:c>
      <x:c r="H13" s="1" t="n">
        <x:v>227</x:v>
      </x:c>
      <x:c r="I13" s="1" t="n">
        <x:v>148</x:v>
      </x:c>
      <x:c r="J13" s="1" t="n">
        <x:v>114</x:v>
      </x:c>
      <x:c r="K13" s="1" t="n">
        <x:v>81</x:v>
      </x:c>
      <x:c r="L13" s="1" t="n">
        <x:v>56</x:v>
      </x:c>
      <x:c r="M13" s="8" t="n">
        <x:f>IF(H13=0,"n.a.",F13/H13)</x:f>
        <x:v>532.234537444934</x:v>
      </x:c>
      <x:c r="N13" s="8" t="n">
        <x:f>IF(J13=0,"n.a.",F13/J13)</x:f>
        <x:v>1059.800350877193</x:v>
      </x:c>
      <x:c r="O13" s="8" t="n">
        <x:f>IF(L13=0,"n.a.",F13/L13)</x:f>
        <x:v>2157.450714285714</x:v>
      </x:c>
      <x:c r="P13" s="9" t="n">
        <x:f>IF(G13=0,"n.a.",L13/G13)</x:f>
        <x:v>0.13592233009708737</x:v>
      </x:c>
      <x:c r="Q13" s="1" t="n">
        <x:v>1</x:v>
      </x:c>
    </x:row>
    <x:row r="14">
      <x:c r="A14" s="1" t="str">
        <x:v>C010</x:v>
      </x:c>
      <x:c r="B14" s="1" t="str">
        <x:v>I010</x:v>
      </x:c>
      <x:c r="C14" s="1" t="str">
        <x:v>Organic Search</x:v>
      </x:c>
      <x:c r="D14" s="1" t="str">
        <x:v>2025-01</x:v>
      </x:c>
      <x:c r="E14" s="8" t="n">
        <x:v>106473</x:v>
      </x:c>
      <x:c r="F14" s="8" t="n">
        <x:v>75103.79</x:v>
      </x:c>
      <x:c r="G14" s="1" t="n">
        <x:v>566</x:v>
      </x:c>
      <x:c r="H14" s="1" t="n">
        <x:v>345</x:v>
      </x:c>
      <x:c r="I14" s="1" t="n">
        <x:v>247</x:v>
      </x:c>
      <x:c r="J14" s="1" t="n">
        <x:v>147</x:v>
      </x:c>
      <x:c r="K14" s="1" t="n">
        <x:v>110</x:v>
      </x:c>
      <x:c r="L14" s="1" t="n">
        <x:v>68</x:v>
      </x:c>
      <x:c r="M14" s="8" t="n">
        <x:f>IF(H14=0,"n.a.",F14/H14)</x:f>
        <x:v>217.69214492753622</x:v>
      </x:c>
      <x:c r="N14" s="8" t="n">
        <x:f>IF(J14=0,"n.a.",F14/J14)</x:f>
        <x:v>510.91013605442174</x:v>
      </x:c>
      <x:c r="O14" s="8" t="n">
        <x:f>IF(L14=0,"n.a.",F14/L14)</x:f>
        <x:v>1104.4675</x:v>
      </x:c>
      <x:c r="P14" s="9" t="n">
        <x:f>IF(G14=0,"n.a.",L14/G14)</x:f>
        <x:v>0.12014134275618374</x:v>
      </x:c>
      <x:c r="Q14" s="1" t="n">
        <x:v>1</x:v>
      </x:c>
    </x:row>
    <x:row r="15">
      <x:c r="A15" s="1" t="str">
        <x:v>C011</x:v>
      </x:c>
      <x:c r="B15" s="1" t="str">
        <x:v>I011</x:v>
      </x:c>
      <x:c r="C15" s="1" t="str">
        <x:v>Referral</x:v>
      </x:c>
      <x:c r="D15" s="1" t="str">
        <x:v>2025-02</x:v>
      </x:c>
      <x:c r="E15" s="8" t="n">
        <x:v>148812</x:v>
      </x:c>
      <x:c r="F15" s="8" t="n">
        <x:v>150102.58</x:v>
      </x:c>
      <x:c r="G15" s="1" t="n">
        <x:v>414</x:v>
      </x:c>
      <x:c r="H15" s="1" t="n">
        <x:v>281</x:v>
      </x:c>
      <x:c r="I15" s="1" t="n">
        <x:v>209</x:v>
      </x:c>
      <x:c r="J15" s="1" t="n">
        <x:v>160</x:v>
      </x:c>
      <x:c r="K15" s="1" t="n">
        <x:v>118</x:v>
      </x:c>
      <x:c r="L15" s="1" t="n">
        <x:v>64</x:v>
      </x:c>
      <x:c r="M15" s="8" t="n">
        <x:f>IF(H15=0,"n.a.",F15/H15)</x:f>
        <x:v>534.1728825622776</x:v>
      </x:c>
      <x:c r="N15" s="8" t="n">
        <x:f>IF(J15=0,"n.a.",F15/J15)</x:f>
        <x:v>938.1411249999999</x:v>
      </x:c>
      <x:c r="O15" s="8" t="n">
        <x:f>IF(L15=0,"n.a.",F15/L15)</x:f>
        <x:v>2345.3528125</x:v>
      </x:c>
      <x:c r="P15" s="9" t="n">
        <x:f>IF(G15=0,"n.a.",L15/G15)</x:f>
        <x:v>0.15458937198067632</x:v>
      </x:c>
      <x:c r="Q15" s="1" t="n">
        <x:v>1</x:v>
      </x:c>
    </x:row>
    <x:row r="16">
      <x:c r="A16" s="1" t="str">
        <x:v>C012</x:v>
      </x:c>
      <x:c r="B16" s="1" t="str">
        <x:v>I012</x:v>
      </x:c>
      <x:c r="C16" s="1" t="str">
        <x:v>Email</x:v>
      </x:c>
      <x:c r="D16" s="1" t="str">
        <x:v>2025-02</x:v>
      </x:c>
      <x:c r="E16" s="8" t="n">
        <x:v>212655</x:v>
      </x:c>
      <x:c r="F16" s="8" t="n">
        <x:v>155626.54</x:v>
      </x:c>
      <x:c r="G16" s="1" t="n">
        <x:v>423</x:v>
      </x:c>
      <x:c r="H16" s="1" t="n">
        <x:v>253</x:v>
      </x:c>
      <x:c r="I16" s="1" t="n">
        <x:v>179</x:v>
      </x:c>
      <x:c r="J16" s="1" t="n">
        <x:v>144</x:v>
      </x:c>
      <x:c r="K16" s="1" t="n">
        <x:v>117</x:v>
      </x:c>
      <x:c r="L16" s="1" t="n">
        <x:v>68</x:v>
      </x:c>
      <x:c r="M16" s="8" t="n">
        <x:f>IF(H16=0,"n.a.",F16/H16)</x:f>
        <x:v>615.1246640316206</x:v>
      </x:c>
      <x:c r="N16" s="8" t="n">
        <x:f>IF(J16=0,"n.a.",F16/J16)</x:f>
        <x:v>1080.7398611111112</x:v>
      </x:c>
      <x:c r="O16" s="8" t="n">
        <x:f>IF(L16=0,"n.a.",F16/L16)</x:f>
        <x:v>2288.6255882352943</x:v>
      </x:c>
      <x:c r="P16" s="9" t="n">
        <x:f>IF(G16=0,"n.a.",L16/G16)</x:f>
        <x:v>0.1607565011820331</x:v>
      </x:c>
      <x:c r="Q16" s="1" t="n">
        <x:v>1</x:v>
      </x:c>
    </x:row>
    <x:row r="17">
      <x:c r="A17" s="1" t="str">
        <x:v>C013</x:v>
      </x:c>
      <x:c r="B17" s="1" t="str">
        <x:v>I013</x:v>
      </x:c>
      <x:c r="C17" s="1" t="str">
        <x:v>Education webinars</x:v>
      </x:c>
      <x:c r="D17" s="1" t="str">
        <x:v>2025-02</x:v>
      </x:c>
      <x:c r="E17" s="8" t="n">
        <x:v>111123</x:v>
      </x:c>
      <x:c r="F17" s="8" t="n">
        <x:v>114963.68</x:v>
      </x:c>
      <x:c r="G17" s="1" t="n">
        <x:v>456</x:v>
      </x:c>
      <x:c r="H17" s="1" t="n">
        <x:v>347</x:v>
      </x:c>
      <x:c r="I17" s="1" t="n">
        <x:v>235</x:v>
      </x:c>
      <x:c r="J17" s="1" t="n">
        <x:v>172</x:v>
      </x:c>
      <x:c r="K17" s="1" t="n">
        <x:v>137</x:v>
      </x:c>
      <x:c r="L17" s="1" t="n">
        <x:v>73</x:v>
      </x:c>
      <x:c r="M17" s="8" t="n">
        <x:f>IF(H17=0,"n.a.",F17/H17)</x:f>
        <x:v>331.30743515850145</x:v>
      </x:c>
      <x:c r="N17" s="8" t="n">
        <x:f>IF(J17=0,"n.a.",F17/J17)</x:f>
        <x:v>668.393488372093</x:v>
      </x:c>
      <x:c r="O17" s="8" t="n">
        <x:f>IF(L17=0,"n.a.",F17/L17)</x:f>
        <x:v>1574.8449315068492</x:v>
      </x:c>
      <x:c r="P17" s="9" t="n">
        <x:f>IF(G17=0,"n.a.",L17/G17)</x:f>
        <x:v>0.1600877192982456</x:v>
      </x:c>
      <x:c r="Q17" s="1" t="n">
        <x:v>1</x:v>
      </x:c>
    </x:row>
    <x:row r="18">
      <x:c r="A18" s="1" t="str">
        <x:v>C014</x:v>
      </x:c>
      <x:c r="B18" s="1" t="str">
        <x:v>I014</x:v>
      </x:c>
      <x:c r="C18" s="1" t="str">
        <x:v>Display Ads</x:v>
      </x:c>
      <x:c r="D18" s="1" t="str">
        <x:v>2025-02</x:v>
      </x:c>
      <x:c r="E18" s="8" t="n">
        <x:v>84608</x:v>
      </x:c>
      <x:c r="F18" s="8" t="n">
        <x:v>60390.19</x:v>
      </x:c>
      <x:c r="G18" s="1" t="n">
        <x:v>441</x:v>
      </x:c>
      <x:c r="H18" s="1" t="n">
        <x:v>170</x:v>
      </x:c>
      <x:c r="I18" s="1" t="n">
        <x:v>110</x:v>
      </x:c>
      <x:c r="J18" s="1" t="n">
        <x:v>71</x:v>
      </x:c>
      <x:c r="K18" s="1" t="n">
        <x:v>49</x:v>
      </x:c>
      <x:c r="L18" s="1" t="n">
        <x:v>31</x:v>
      </x:c>
      <x:c r="M18" s="8" t="n">
        <x:f>IF(H18=0,"n.a.",F18/H18)</x:f>
        <x:v>355.2364117647059</x:v>
      </x:c>
      <x:c r="N18" s="8" t="n">
        <x:f>IF(J18=0,"n.a.",F18/J18)</x:f>
        <x:v>850.5660563380281</x:v>
      </x:c>
      <x:c r="O18" s="8" t="n">
        <x:f>IF(L18=0,"n.a.",F18/L18)</x:f>
        <x:v>1948.0706451612905</x:v>
      </x:c>
      <x:c r="P18" s="9" t="n">
        <x:f>IF(G18=0,"n.a.",L18/G18)</x:f>
        <x:v>0.07029478458049887</x:v>
      </x:c>
      <x:c r="Q18" s="1" t="n">
        <x:v>1</x:v>
      </x:c>
    </x:row>
    <x:row r="19">
      <x:c r="A19" s="1" t="str">
        <x:v>C015</x:v>
      </x:c>
      <x:c r="B19" s="1" t="str">
        <x:v>I015</x:v>
      </x:c>
      <x:c r="C19" s="1" t="str">
        <x:v>Google Search</x:v>
      </x:c>
      <x:c r="D19" s="1" t="str">
        <x:v>2025-02</x:v>
      </x:c>
      <x:c r="E19" s="8" t="n">
        <x:v>246425</x:v>
      </x:c>
      <x:c r="F19" s="8" t="n">
        <x:v>173966.56</x:v>
      </x:c>
      <x:c r="G19" s="1" t="n">
        <x:v>456</x:v>
      </x:c>
      <x:c r="H19" s="1" t="n">
        <x:v>286</x:v>
      </x:c>
      <x:c r="I19" s="1" t="n">
        <x:v>198</x:v>
      </x:c>
      <x:c r="J19" s="1" t="n">
        <x:v>113</x:v>
      </x:c>
      <x:c r="K19" s="1" t="n">
        <x:v>91</x:v>
      </x:c>
      <x:c r="L19" s="1" t="n">
        <x:v>58</x:v>
      </x:c>
      <x:c r="M19" s="8" t="n">
        <x:f>IF(H19=0,"n.a.",F19/H19)</x:f>
        <x:v>608.2746853146853</x:v>
      </x:c>
      <x:c r="N19" s="8" t="n">
        <x:f>IF(J19=0,"n.a.",F19/J19)</x:f>
        <x:v>1539.5270796460177</x:v>
      </x:c>
      <x:c r="O19" s="8" t="n">
        <x:f>IF(L19=0,"n.a.",F19/L19)</x:f>
        <x:v>2999.423448275862</x:v>
      </x:c>
      <x:c r="P19" s="9" t="n">
        <x:f>IF(G19=0,"n.a.",L19/G19)</x:f>
        <x:v>0.12719298245614036</x:v>
      </x:c>
      <x:c r="Q19" s="1" t="n">
        <x:v>1</x:v>
      </x:c>
    </x:row>
    <x:row r="20">
      <x:c r="A20" s="1" t="str">
        <x:v>C016</x:v>
      </x:c>
      <x:c r="B20" s="1" t="str">
        <x:v>I016</x:v>
      </x:c>
      <x:c r="C20" s="1" t="str">
        <x:v>Meta Ads</x:v>
      </x:c>
      <x:c r="D20" s="1" t="str">
        <x:v>2025-02</x:v>
      </x:c>
      <x:c r="E20" s="8" t="n">
        <x:v>91733</x:v>
      </x:c>
      <x:c r="F20" s="8" t="n">
        <x:v>65787.2</x:v>
      </x:c>
      <x:c r="G20" s="1" t="n">
        <x:v>451</x:v>
      </x:c>
      <x:c r="H20" s="1" t="n">
        <x:v>215</x:v>
      </x:c>
      <x:c r="I20" s="1" t="n">
        <x:v>141</x:v>
      </x:c>
      <x:c r="J20" s="1" t="n">
        <x:v>93</x:v>
      </x:c>
      <x:c r="K20" s="1" t="n">
        <x:v>70</x:v>
      </x:c>
      <x:c r="L20" s="1" t="n">
        <x:v>37</x:v>
      </x:c>
      <x:c r="M20" s="8" t="n">
        <x:f>IF(H20=0,"n.a.",F20/H20)</x:f>
        <x:v>305.98697674418605</x:v>
      </x:c>
      <x:c r="N20" s="8" t="n">
        <x:f>IF(J20=0,"n.a.",F20/J20)</x:f>
        <x:v>707.389247311828</x:v>
      </x:c>
      <x:c r="O20" s="8" t="n">
        <x:f>IF(L20=0,"n.a.",F20/L20)</x:f>
        <x:v>1778.0324324324324</x:v>
      </x:c>
      <x:c r="P20" s="9" t="n">
        <x:f>IF(G20=0,"n.a.",L20/G20)</x:f>
        <x:v>0.082039911308204</x:v>
      </x:c>
      <x:c r="Q20" s="1" t="n">
        <x:v>1</x:v>
      </x:c>
    </x:row>
    <x:row r="21">
      <x:c r="A21" s="1" t="str">
        <x:v>C017</x:v>
      </x:c>
      <x:c r="B21" s="1" t="str">
        <x:v>I017</x:v>
      </x:c>
      <x:c r="C21" s="1" t="str">
        <x:v>Organic Search</x:v>
      </x:c>
      <x:c r="D21" s="1" t="str">
        <x:v>2025-02</x:v>
      </x:c>
      <x:c r="E21" s="8" t="n">
        <x:v>176258</x:v>
      </x:c>
      <x:c r="F21" s="8" t="n">
        <x:v>184939.79</x:v>
      </x:c>
      <x:c r="G21" s="1" t="n">
        <x:v>609</x:v>
      </x:c>
      <x:c r="H21" s="1" t="n">
        <x:v>417</x:v>
      </x:c>
      <x:c r="I21" s="1" t="n">
        <x:v>279</x:v>
      </x:c>
      <x:c r="J21" s="1" t="n">
        <x:v>181</x:v>
      </x:c>
      <x:c r="K21" s="1" t="n">
        <x:v>132</x:v>
      </x:c>
      <x:c r="L21" s="1" t="n">
        <x:v>78</x:v>
      </x:c>
      <x:c r="M21" s="8" t="n">
        <x:f>IF(H21=0,"n.a.",F21/H21)</x:f>
        <x:v>443.5006954436451</x:v>
      </x:c>
      <x:c r="N21" s="8" t="n">
        <x:f>IF(J21=0,"n.a.",F21/J21)</x:f>
        <x:v>1021.7667955801105</x:v>
      </x:c>
      <x:c r="O21" s="8" t="n">
        <x:f>IF(L21=0,"n.a.",F21/L21)</x:f>
        <x:v>2371.022948717949</x:v>
      </x:c>
      <x:c r="P21" s="9" t="n">
        <x:f>IF(G21=0,"n.a.",L21/G21)</x:f>
        <x:v>0.12807881773399016</x:v>
      </x:c>
      <x:c r="Q21" s="1" t="n">
        <x:v>1</x:v>
      </x:c>
    </x:row>
    <x:row r="22">
      <x:c r="A22" s="1" t="str">
        <x:v>C018</x:v>
      </x:c>
      <x:c r="B22" s="1" t="str">
        <x:v>I018</x:v>
      </x:c>
      <x:c r="C22" s="1" t="str">
        <x:v>Referral</x:v>
      </x:c>
      <x:c r="D22" s="1" t="str">
        <x:v>2025-02</x:v>
      </x:c>
      <x:c r="E22" s="8" t="n">
        <x:v>149699</x:v>
      </x:c>
      <x:c r="F22" s="8" t="n">
        <x:v>131563.53</x:v>
      </x:c>
      <x:c r="G22" s="1" t="n">
        <x:v>296</x:v>
      </x:c>
      <x:c r="H22" s="1" t="n">
        <x:v>228</x:v>
      </x:c>
      <x:c r="I22" s="1" t="n">
        <x:v>167</x:v>
      </x:c>
      <x:c r="J22" s="1" t="n">
        <x:v>126</x:v>
      </x:c>
      <x:c r="K22" s="1" t="n">
        <x:v>101</x:v>
      </x:c>
      <x:c r="L22" s="1" t="n">
        <x:v>57</x:v>
      </x:c>
      <x:c r="M22" s="8" t="n">
        <x:f>IF(H22=0,"n.a.",F22/H22)</x:f>
        <x:v>577.0330263157895</x:v>
      </x:c>
      <x:c r="N22" s="8" t="n">
        <x:f>IF(J22=0,"n.a.",F22/J22)</x:f>
        <x:v>1044.155</x:v>
      </x:c>
      <x:c r="O22" s="8" t="n">
        <x:f>IF(L22=0,"n.a.",F22/L22)</x:f>
        <x:v>2308.132105263158</x:v>
      </x:c>
      <x:c r="P22" s="9" t="n">
        <x:f>IF(G22=0,"n.a.",L22/G22)</x:f>
        <x:v>0.19256756756756757</x:v>
      </x:c>
      <x:c r="Q22" s="1" t="n">
        <x:v>1</x:v>
      </x:c>
    </x:row>
    <x:row r="23">
      <x:c r="A23" s="1" t="str">
        <x:v>C019</x:v>
      </x:c>
      <x:c r="B23" s="1" t="str">
        <x:v>I019</x:v>
      </x:c>
      <x:c r="C23" s="1" t="str">
        <x:v>Email</x:v>
      </x:c>
      <x:c r="D23" s="1" t="str">
        <x:v>2025-02</x:v>
      </x:c>
      <x:c r="E23" s="8" t="n">
        <x:v>86564</x:v>
      </x:c>
      <x:c r="F23" s="8" t="n">
        <x:v>66375.22</x:v>
      </x:c>
      <x:c r="G23" s="1" t="n">
        <x:v>432</x:v>
      </x:c>
      <x:c r="H23" s="1" t="n">
        <x:v>243</x:v>
      </x:c>
      <x:c r="I23" s="1" t="n">
        <x:v>173</x:v>
      </x:c>
      <x:c r="J23" s="1" t="n">
        <x:v>141</x:v>
      </x:c>
      <x:c r="K23" s="1" t="n">
        <x:v>108</x:v>
      </x:c>
      <x:c r="L23" s="1" t="n">
        <x:v>59</x:v>
      </x:c>
      <x:c r="M23" s="8" t="n">
        <x:f>IF(H23=0,"n.a.",F23/H23)</x:f>
        <x:v>273.1490534979424</x:v>
      </x:c>
      <x:c r="N23" s="8" t="n">
        <x:f>IF(J23=0,"n.a.",F23/J23)</x:f>
        <x:v>470.74624113475176</x:v>
      </x:c>
      <x:c r="O23" s="8" t="n">
        <x:f>IF(L23=0,"n.a.",F23/L23)</x:f>
        <x:v>1125.0037288135593</x:v>
      </x:c>
      <x:c r="P23" s="9" t="n">
        <x:f>IF(G23=0,"n.a.",L23/G23)</x:f>
        <x:v>0.13657407407407407</x:v>
      </x:c>
      <x:c r="Q23" s="1" t="n">
        <x:v>1</x:v>
      </x:c>
    </x:row>
    <x:row r="24">
      <x:c r="A24" s="1" t="str">
        <x:v>C020</x:v>
      </x:c>
      <x:c r="B24" s="1" t="str">
        <x:v>I020</x:v>
      </x:c>
      <x:c r="C24" s="1" t="str">
        <x:v>Education webinars</x:v>
      </x:c>
      <x:c r="D24" s="1" t="str">
        <x:v>2025-02</x:v>
      </x:c>
      <x:c r="E24" s="8" t="n">
        <x:v>222935</x:v>
      </x:c>
      <x:c r="F24" s="8" t="n">
        <x:v>147231.32</x:v>
      </x:c>
      <x:c r="G24" s="1" t="n">
        <x:v>456</x:v>
      </x:c>
      <x:c r="H24" s="1" t="n">
        <x:v>309</x:v>
      </x:c>
      <x:c r="I24" s="1" t="n">
        <x:v>216</x:v>
      </x:c>
      <x:c r="J24" s="1" t="n">
        <x:v>165</x:v>
      </x:c>
      <x:c r="K24" s="1" t="n">
        <x:v>125</x:v>
      </x:c>
      <x:c r="L24" s="1" t="n">
        <x:v>73</x:v>
      </x:c>
      <x:c r="M24" s="8" t="n">
        <x:f>IF(H24=0,"n.a.",F24/H24)</x:f>
        <x:v>476.47676375404535</x:v>
      </x:c>
      <x:c r="N24" s="8" t="n">
        <x:f>IF(J24=0,"n.a.",F24/J24)</x:f>
        <x:v>892.3110303030303</x:v>
      </x:c>
      <x:c r="O24" s="8" t="n">
        <x:f>IF(L24=0,"n.a.",F24/L24)</x:f>
        <x:v>2016.8673972602742</x:v>
      </x:c>
      <x:c r="P24" s="9" t="n">
        <x:f>IF(G24=0,"n.a.",L24/G24)</x:f>
        <x:v>0.1600877192982456</x:v>
      </x:c>
      <x:c r="Q24" s="1" t="n">
        <x:v>1</x:v>
      </x:c>
    </x:row>
    <x:row r="25">
      <x:c r="A25" s="1" t="str">
        <x:v>C021</x:v>
      </x:c>
      <x:c r="B25" s="1" t="str">
        <x:v>I021</x:v>
      </x:c>
      <x:c r="C25" s="1" t="str">
        <x:v>Display Ads</x:v>
      </x:c>
      <x:c r="D25" s="1" t="str">
        <x:v>2025-03</x:v>
      </x:c>
      <x:c r="E25" s="8" t="n">
        <x:v>178283</x:v>
      </x:c>
      <x:c r="F25" s="8" t="n">
        <x:v>120330.71</x:v>
      </x:c>
      <x:c r="G25" s="1" t="n">
        <x:v>217</x:v>
      </x:c>
      <x:c r="H25" s="1" t="n">
        <x:v>99</x:v>
      </x:c>
      <x:c r="I25" s="1" t="n">
        <x:v>69</x:v>
      </x:c>
      <x:c r="J25" s="1" t="n">
        <x:v>53</x:v>
      </x:c>
      <x:c r="K25" s="1" t="n">
        <x:v>43</x:v>
      </x:c>
      <x:c r="L25" s="1" t="n">
        <x:v>23</x:v>
      </x:c>
      <x:c r="M25" s="8" t="n">
        <x:f>IF(H25=0,"n.a.",F25/H25)</x:f>
        <x:v>1215.4617171717173</x:v>
      </x:c>
      <x:c r="N25" s="8" t="n">
        <x:f>IF(J25=0,"n.a.",F25/J25)</x:f>
        <x:v>2270.390754716981</x:v>
      </x:c>
      <x:c r="O25" s="8" t="n">
        <x:f>IF(L25=0,"n.a.",F25/L25)</x:f>
        <x:v>5231.77</x:v>
      </x:c>
      <x:c r="P25" s="9" t="n">
        <x:f>IF(G25=0,"n.a.",L25/G25)</x:f>
        <x:v>0.10599078341013825</x:v>
      </x:c>
      <x:c r="Q25" s="1" t="n">
        <x:v>1</x:v>
      </x:c>
    </x:row>
    <x:row r="26">
      <x:c r="A26" s="1" t="str">
        <x:v>C022</x:v>
      </x:c>
      <x:c r="B26" s="1" t="str">
        <x:v>I022</x:v>
      </x:c>
      <x:c r="C26" s="1" t="str">
        <x:v>Google Search</x:v>
      </x:c>
      <x:c r="D26" s="1" t="str">
        <x:v>2025-03</x:v>
      </x:c>
      <x:c r="E26" s="8" t="n">
        <x:v>200116</x:v>
      </x:c>
      <x:c r="F26" s="8" t="n">
        <x:v>176132.6</x:v>
      </x:c>
      <x:c r="G26" s="1" t="n">
        <x:v>389</x:v>
      </x:c>
      <x:c r="H26" s="1" t="n">
        <x:v>250</x:v>
      </x:c>
      <x:c r="I26" s="1" t="n">
        <x:v>188</x:v>
      </x:c>
      <x:c r="J26" s="1" t="n">
        <x:v>123</x:v>
      </x:c>
      <x:c r="K26" s="1" t="n">
        <x:v>88</x:v>
      </x:c>
      <x:c r="L26" s="1" t="n">
        <x:v>49</x:v>
      </x:c>
      <x:c r="M26" s="8" t="n">
        <x:f>IF(H26=0,"n.a.",F26/H26)</x:f>
        <x:v>704.5304</x:v>
      </x:c>
      <x:c r="N26" s="8" t="n">
        <x:f>IF(J26=0,"n.a.",F26/J26)</x:f>
        <x:v>1431.9723577235773</x:v>
      </x:c>
      <x:c r="O26" s="8" t="n">
        <x:f>IF(L26=0,"n.a.",F26/L26)</x:f>
        <x:v>3594.5428571428574</x:v>
      </x:c>
      <x:c r="P26" s="9" t="n">
        <x:f>IF(G26=0,"n.a.",L26/G26)</x:f>
        <x:v>0.12596401028277635</x:v>
      </x:c>
      <x:c r="Q26" s="1" t="n">
        <x:v>1</x:v>
      </x:c>
    </x:row>
    <x:row r="27">
      <x:c r="A27" s="1" t="str">
        <x:v>C023</x:v>
      </x:c>
      <x:c r="B27" s="1" t="str">
        <x:v>I023</x:v>
      </x:c>
      <x:c r="C27" s="1" t="str">
        <x:v>Meta Ads</x:v>
      </x:c>
      <x:c r="D27" s="1" t="str">
        <x:v>2025-03</x:v>
      </x:c>
      <x:c r="E27" s="8" t="n">
        <x:v>219183</x:v>
      </x:c>
      <x:c r="F27" s="8" t="n">
        <x:v>205729.22</x:v>
      </x:c>
      <x:c r="G27" s="1" t="n">
        <x:v>472</x:v>
      </x:c>
      <x:c r="H27" s="1" t="n">
        <x:v>228</x:v>
      </x:c>
      <x:c r="I27" s="1" t="n">
        <x:v>158</x:v>
      </x:c>
      <x:c r="J27" s="1" t="n">
        <x:v>96</x:v>
      </x:c>
      <x:c r="K27" s="1" t="n">
        <x:v>71</x:v>
      </x:c>
      <x:c r="L27" s="1" t="n">
        <x:v>37</x:v>
      </x:c>
      <x:c r="M27" s="8" t="n">
        <x:f>IF(H27=0,"n.a.",F27/H27)</x:f>
        <x:v>902.3211403508772</x:v>
      </x:c>
      <x:c r="N27" s="8" t="n">
        <x:f>IF(J27=0,"n.a.",F27/J27)</x:f>
        <x:v>2143.012708333333</x:v>
      </x:c>
      <x:c r="O27" s="8" t="n">
        <x:f>IF(L27=0,"n.a.",F27/L27)</x:f>
        <x:v>5560.24918918919</x:v>
      </x:c>
      <x:c r="P27" s="9" t="n">
        <x:f>IF(G27=0,"n.a.",L27/G27)</x:f>
        <x:v>0.07838983050847458</x:v>
      </x:c>
      <x:c r="Q27" s="1" t="n">
        <x:v>1</x:v>
      </x:c>
    </x:row>
    <x:row r="28">
      <x:c r="A28" s="1" t="str">
        <x:v>C024</x:v>
      </x:c>
      <x:c r="B28" s="1" t="str">
        <x:v>I024</x:v>
      </x:c>
      <x:c r="C28" s="1" t="str">
        <x:v>Organic Search</x:v>
      </x:c>
      <x:c r="D28" s="1" t="str">
        <x:v>2025-03</x:v>
      </x:c>
      <x:c r="E28" s="8" t="n">
        <x:v>173628</x:v>
      </x:c>
      <x:c r="F28" s="8" t="n">
        <x:v>166493.27</x:v>
      </x:c>
      <x:c r="G28" s="1" t="n">
        <x:v>574</x:v>
      </x:c>
      <x:c r="H28" s="1" t="n">
        <x:v>388</x:v>
      </x:c>
      <x:c r="I28" s="1" t="n">
        <x:v>255</x:v>
      </x:c>
      <x:c r="J28" s="1" t="n">
        <x:v>195</x:v>
      </x:c>
      <x:c r="K28" s="1" t="n">
        <x:v>154</x:v>
      </x:c>
      <x:c r="L28" s="1" t="n">
        <x:v>96</x:v>
      </x:c>
      <x:c r="M28" s="8" t="n">
        <x:f>IF(H28=0,"n.a.",F28/H28)</x:f>
        <x:v>429.1063659793814</x:v>
      </x:c>
      <x:c r="N28" s="8" t="n">
        <x:f>IF(J28=0,"n.a.",F28/J28)</x:f>
        <x:v>853.8116410256409</x:v>
      </x:c>
      <x:c r="O28" s="8" t="n">
        <x:f>IF(L28=0,"n.a.",F28/L28)</x:f>
        <x:v>1734.3048958333331</x:v>
      </x:c>
      <x:c r="P28" s="9" t="n">
        <x:f>IF(G28=0,"n.a.",L28/G28)</x:f>
        <x:v>0.1672473867595819</x:v>
      </x:c>
      <x:c r="Q28" s="1" t="n">
        <x:v>1</x:v>
      </x:c>
    </x:row>
    <x:row r="29">
      <x:c r="A29" s="1" t="str">
        <x:v>C025</x:v>
      </x:c>
      <x:c r="B29" s="1" t="str">
        <x:v>I001</x:v>
      </x:c>
      <x:c r="C29" s="1" t="str">
        <x:v>Referral</x:v>
      </x:c>
      <x:c r="D29" s="1" t="str">
        <x:v>2025-03</x:v>
      </x:c>
      <x:c r="E29" s="8" t="n">
        <x:v>150254</x:v>
      </x:c>
      <x:c r="F29" s="8" t="n">
        <x:v>158677.63</x:v>
      </x:c>
      <x:c r="G29" s="1" t="n">
        <x:v>490</x:v>
      </x:c>
      <x:c r="H29" s="1" t="n">
        <x:v>400</x:v>
      </x:c>
      <x:c r="I29" s="1" t="n">
        <x:v>291</x:v>
      </x:c>
      <x:c r="J29" s="1" t="n">
        <x:v>199</x:v>
      </x:c>
      <x:c r="K29" s="1" t="n">
        <x:v>166</x:v>
      </x:c>
      <x:c r="L29" s="1" t="n">
        <x:v>92</x:v>
      </x:c>
      <x:c r="M29" s="8" t="n">
        <x:f>IF(H29=0,"n.a.",F29/H29)</x:f>
        <x:v>396.694075</x:v>
      </x:c>
      <x:c r="N29" s="8" t="n">
        <x:f>IF(J29=0,"n.a.",F29/J29)</x:f>
        <x:v>797.3750251256282</x:v>
      </x:c>
      <x:c r="O29" s="8" t="n">
        <x:f>IF(L29=0,"n.a.",F29/L29)</x:f>
        <x:v>1724.756847826087</x:v>
      </x:c>
      <x:c r="P29" s="9" t="n">
        <x:f>IF(G29=0,"n.a.",L29/G29)</x:f>
        <x:v>0.18775510204081633</x:v>
      </x:c>
      <x:c r="Q29" s="1" t="n">
        <x:v>1</x:v>
      </x:c>
    </x:row>
    <x:row r="30">
      <x:c r="A30" s="1" t="str">
        <x:v>C026</x:v>
      </x:c>
      <x:c r="B30" s="1" t="str">
        <x:v>I002</x:v>
      </x:c>
      <x:c r="C30" s="1" t="str">
        <x:v>Email</x:v>
      </x:c>
      <x:c r="D30" s="1" t="str">
        <x:v>2025-03</x:v>
      </x:c>
      <x:c r="E30" s="8" t="n">
        <x:v>182762</x:v>
      </x:c>
      <x:c r="F30" s="8" t="n">
        <x:v>162640.13</x:v>
      </x:c>
      <x:c r="G30" s="1" t="n">
        <x:v>393</x:v>
      </x:c>
      <x:c r="H30" s="1" t="n">
        <x:v>234</x:v>
      </x:c>
      <x:c r="I30" s="1" t="n">
        <x:v>156</x:v>
      </x:c>
      <x:c r="J30" s="1" t="n">
        <x:v>96</x:v>
      </x:c>
      <x:c r="K30" s="1" t="n">
        <x:v>71</x:v>
      </x:c>
      <x:c r="L30" s="1" t="n">
        <x:v>45</x:v>
      </x:c>
      <x:c r="M30" s="8" t="n">
        <x:f>IF(H30=0,"n.a.",F30/H30)</x:f>
        <x:v>695.0432905982906</x:v>
      </x:c>
      <x:c r="N30" s="8" t="n">
        <x:f>IF(J30=0,"n.a.",F30/J30)</x:f>
        <x:v>1694.1680208333335</x:v>
      </x:c>
      <x:c r="O30" s="8" t="n">
        <x:f>IF(L30=0,"n.a.",F30/L30)</x:f>
        <x:v>3614.2251111111113</x:v>
      </x:c>
      <x:c r="P30" s="9" t="n">
        <x:f>IF(G30=0,"n.a.",L30/G30)</x:f>
        <x:v>0.11450381679389313</x:v>
      </x:c>
      <x:c r="Q30" s="1" t="n">
        <x:v>1</x:v>
      </x:c>
    </x:row>
    <x:row r="31">
      <x:c r="A31" s="1" t="str">
        <x:v>C027</x:v>
      </x:c>
      <x:c r="B31" s="1" t="str">
        <x:v>I003</x:v>
      </x:c>
      <x:c r="C31" s="1" t="str">
        <x:v>Education webinars</x:v>
      </x:c>
      <x:c r="D31" s="1" t="str">
        <x:v>2025-03</x:v>
      </x:c>
      <x:c r="E31" s="8" t="n">
        <x:v>85783</x:v>
      </x:c>
      <x:c r="F31" s="8" t="n">
        <x:v>60154.66</x:v>
      </x:c>
      <x:c r="G31" s="1" t="n">
        <x:v>327</x:v>
      </x:c>
      <x:c r="H31" s="1" t="n">
        <x:v>203</x:v>
      </x:c>
      <x:c r="I31" s="1" t="n">
        <x:v>143</x:v>
      </x:c>
      <x:c r="J31" s="1" t="n">
        <x:v>89</x:v>
      </x:c>
      <x:c r="K31" s="1" t="n">
        <x:v>75</x:v>
      </x:c>
      <x:c r="L31" s="1" t="n">
        <x:v>51</x:v>
      </x:c>
      <x:c r="M31" s="8" t="n">
        <x:f>IF(H31=0,"n.a.",F31/H31)</x:f>
        <x:v>296.3283743842365</x:v>
      </x:c>
      <x:c r="N31" s="8" t="n">
        <x:f>IF(J31=0,"n.a.",F31/J31)</x:f>
        <x:v>675.8950561797753</x:v>
      </x:c>
      <x:c r="O31" s="8" t="n">
        <x:f>IF(L31=0,"n.a.",F31/L31)</x:f>
        <x:v>1179.503137254902</x:v>
      </x:c>
      <x:c r="P31" s="9" t="n">
        <x:f>IF(G31=0,"n.a.",L31/G31)</x:f>
        <x:v>0.1559633027522936</x:v>
      </x:c>
      <x:c r="Q31" s="1" t="n">
        <x:v>1</x:v>
      </x:c>
    </x:row>
    <x:row r="32">
      <x:c r="A32" s="1" t="str">
        <x:v>C028</x:v>
      </x:c>
      <x:c r="B32" s="1" t="str">
        <x:v>I004</x:v>
      </x:c>
      <x:c r="C32" s="1" t="str">
        <x:v>Display Ads</x:v>
      </x:c>
      <x:c r="D32" s="1" t="str">
        <x:v>2025-03</x:v>
      </x:c>
      <x:c r="E32" s="8" t="n">
        <x:v>209539</x:v>
      </x:c>
      <x:c r="F32" s="8" t="n">
        <x:v>142102.76</x:v>
      </x:c>
      <x:c r="G32" s="1" t="n">
        <x:v>238</x:v>
      </x:c>
      <x:c r="H32" s="1" t="n">
        <x:v>111</x:v>
      </x:c>
      <x:c r="I32" s="1" t="n">
        <x:v>77</x:v>
      </x:c>
      <x:c r="J32" s="1" t="n">
        <x:v>44</x:v>
      </x:c>
      <x:c r="K32" s="1" t="n">
        <x:v>29</x:v>
      </x:c>
      <x:c r="L32" s="1" t="n">
        <x:v>15</x:v>
      </x:c>
      <x:c r="M32" s="8" t="n">
        <x:f>IF(H32=0,"n.a.",F32/H32)</x:f>
        <x:v>1280.2050450450452</x:v>
      </x:c>
      <x:c r="N32" s="8" t="n">
        <x:f>IF(J32=0,"n.a.",F32/J32)</x:f>
        <x:v>3229.608181818182</x:v>
      </x:c>
      <x:c r="O32" s="8" t="n">
        <x:f>IF(L32=0,"n.a.",F32/L32)</x:f>
        <x:v>9473.517333333333</x:v>
      </x:c>
      <x:c r="P32" s="9" t="n">
        <x:f>IF(G32=0,"n.a.",L32/G32)</x:f>
        <x:v>0.06302521008403361</x:v>
      </x:c>
      <x:c r="Q32" s="1" t="n">
        <x:v>1</x:v>
      </x:c>
    </x:row>
    <x:row r="33">
      <x:c r="A33" s="1" t="str">
        <x:v>C029</x:v>
      </x:c>
      <x:c r="B33" s="1" t="str">
        <x:v>I005</x:v>
      </x:c>
      <x:c r="C33" s="1" t="str">
        <x:v>Google Search</x:v>
      </x:c>
      <x:c r="D33" s="1" t="str">
        <x:v>2025-03</x:v>
      </x:c>
      <x:c r="E33" s="8" t="n">
        <x:v>150348</x:v>
      </x:c>
      <x:c r="F33" s="8" t="n">
        <x:v>122709.68</x:v>
      </x:c>
      <x:c r="G33" s="1" t="n">
        <x:v>406</x:v>
      </x:c>
      <x:c r="H33" s="1" t="n">
        <x:v>245</x:v>
      </x:c>
      <x:c r="I33" s="1" t="n">
        <x:v>183</x:v>
      </x:c>
      <x:c r="J33" s="1" t="n">
        <x:v>137</x:v>
      </x:c>
      <x:c r="K33" s="1" t="n">
        <x:v>102</x:v>
      </x:c>
      <x:c r="L33" s="1" t="n">
        <x:v>55</x:v>
      </x:c>
      <x:c r="M33" s="8" t="n">
        <x:f>IF(H33=0,"n.a.",F33/H33)</x:f>
        <x:v>500.85583673469387</x:v>
      </x:c>
      <x:c r="N33" s="8" t="n">
        <x:f>IF(J33=0,"n.a.",F33/J33)</x:f>
        <x:v>895.691094890511</x:v>
      </x:c>
      <x:c r="O33" s="8" t="n">
        <x:f>IF(L33=0,"n.a.",F33/L33)</x:f>
        <x:v>2231.085090909091</x:v>
      </x:c>
      <x:c r="P33" s="9" t="n">
        <x:f>IF(G33=0,"n.a.",L33/G33)</x:f>
        <x:v>0.1354679802955665</x:v>
      </x:c>
      <x:c r="Q33" s="1" t="n">
        <x:v>1</x:v>
      </x:c>
    </x:row>
    <x:row r="34">
      <x:c r="A34" s="1" t="str">
        <x:v>C030</x:v>
      </x:c>
      <x:c r="B34" s="1" t="str">
        <x:v>I006</x:v>
      </x:c>
      <x:c r="C34" s="1" t="str">
        <x:v>Meta Ads</x:v>
      </x:c>
      <x:c r="D34" s="1" t="str">
        <x:v>2025-03</x:v>
      </x:c>
      <x:c r="E34" s="8" t="n">
        <x:v>236552</x:v>
      </x:c>
      <x:c r="F34" s="8" t="n">
        <x:v>224688.1</x:v>
      </x:c>
      <x:c r="G34" s="1" t="n">
        <x:v>482</x:v>
      </x:c>
      <x:c r="H34" s="1" t="n">
        <x:v>175</x:v>
      </x:c>
      <x:c r="I34" s="1" t="n">
        <x:v>118</x:v>
      </x:c>
      <x:c r="J34" s="1" t="n">
        <x:v>80</x:v>
      </x:c>
      <x:c r="K34" s="1" t="n">
        <x:v>57</x:v>
      </x:c>
      <x:c r="L34" s="1" t="n">
        <x:v>34</x:v>
      </x:c>
      <x:c r="M34" s="8" t="n">
        <x:f>IF(H34=0,"n.a.",F34/H34)</x:f>
        <x:v>1283.932</x:v>
      </x:c>
      <x:c r="N34" s="8" t="n">
        <x:f>IF(J34=0,"n.a.",F34/J34)</x:f>
        <x:v>2808.60125</x:v>
      </x:c>
      <x:c r="O34" s="8" t="n">
        <x:f>IF(L34=0,"n.a.",F34/L34)</x:f>
        <x:v>6608.4735294117645</x:v>
      </x:c>
      <x:c r="P34" s="9" t="n">
        <x:f>IF(G34=0,"n.a.",L34/G34)</x:f>
        <x:v>0.07053941908713693</x:v>
      </x:c>
      <x:c r="Q34" s="1" t="n">
        <x:v>1</x:v>
      </x:c>
    </x:row>
    <x:row r="35">
      <x:c r="A35" s="1" t="str">
        <x:v>C031</x:v>
      </x:c>
      <x:c r="B35" s="1" t="str">
        <x:v>I007</x:v>
      </x:c>
      <x:c r="C35" s="1" t="str">
        <x:v>Organic Search</x:v>
      </x:c>
      <x:c r="D35" s="1" t="str">
        <x:v>2025-04</x:v>
      </x:c>
      <x:c r="E35" s="8" t="n">
        <x:v>95370</x:v>
      </x:c>
      <x:c r="F35" s="8" t="n">
        <x:v>76971.2</x:v>
      </x:c>
      <x:c r="G35" s="1" t="n">
        <x:v>297</x:v>
      </x:c>
      <x:c r="H35" s="1" t="n">
        <x:v>167</x:v>
      </x:c>
      <x:c r="I35" s="1" t="n">
        <x:v>128</x:v>
      </x:c>
      <x:c r="J35" s="1" t="n">
        <x:v>94</x:v>
      </x:c>
      <x:c r="K35" s="1" t="n">
        <x:v>69</x:v>
      </x:c>
      <x:c r="L35" s="1" t="n">
        <x:v>34</x:v>
      </x:c>
      <x:c r="M35" s="8" t="n">
        <x:f>IF(H35=0,"n.a.",F35/H35)</x:f>
        <x:v>460.90538922155685</x:v>
      </x:c>
      <x:c r="N35" s="8" t="n">
        <x:f>IF(J35=0,"n.a.",F35/J35)</x:f>
        <x:v>818.8425531914893</x:v>
      </x:c>
      <x:c r="O35" s="8" t="n">
        <x:f>IF(L35=0,"n.a.",F35/L35)</x:f>
        <x:v>2263.858823529412</x:v>
      </x:c>
      <x:c r="P35" s="9" t="n">
        <x:f>IF(G35=0,"n.a.",L35/G35)</x:f>
        <x:v>0.11447811447811448</x:v>
      </x:c>
      <x:c r="Q35" s="1" t="n">
        <x:v>1</x:v>
      </x:c>
    </x:row>
    <x:row r="36">
      <x:c r="A36" s="1" t="str">
        <x:v>C032</x:v>
      </x:c>
      <x:c r="B36" s="1" t="str">
        <x:v>I008</x:v>
      </x:c>
      <x:c r="C36" s="1" t="str">
        <x:v>Referral</x:v>
      </x:c>
      <x:c r="D36" s="1" t="str">
        <x:v>2025-04</x:v>
      </x:c>
      <x:c r="E36" s="8" t="n">
        <x:v>87533</x:v>
      </x:c>
      <x:c r="F36" s="8" t="n">
        <x:v>85863.04</x:v>
      </x:c>
      <x:c r="G36" s="1" t="n">
        <x:v>384</x:v>
      </x:c>
      <x:c r="H36" s="1" t="n">
        <x:v>291</x:v>
      </x:c>
      <x:c r="I36" s="1" t="n">
        <x:v>197</x:v>
      </x:c>
      <x:c r="J36" s="1" t="n">
        <x:v>162</x:v>
      </x:c>
      <x:c r="K36" s="1" t="n">
        <x:v>121</x:v>
      </x:c>
      <x:c r="L36" s="1" t="n">
        <x:v>70</x:v>
      </x:c>
      <x:c r="M36" s="8" t="n">
        <x:f>IF(H36=0,"n.a.",F36/H36)</x:f>
        <x:v>295.06199312714773</x:v>
      </x:c>
      <x:c r="N36" s="8" t="n">
        <x:f>IF(J36=0,"n.a.",F36/J36)</x:f>
        <x:v>530.0187654320987</x:v>
      </x:c>
      <x:c r="O36" s="8" t="n">
        <x:f>IF(L36=0,"n.a.",F36/L36)</x:f>
        <x:v>1226.614857142857</x:v>
      </x:c>
      <x:c r="P36" s="9" t="n">
        <x:f>IF(G36=0,"n.a.",L36/G36)</x:f>
        <x:v>0.18229166666666666</x:v>
      </x:c>
      <x:c r="Q36" s="1" t="n">
        <x:v>1</x:v>
      </x:c>
    </x:row>
    <x:row r="37">
      <x:c r="A37" s="1" t="str">
        <x:v>C033</x:v>
      </x:c>
      <x:c r="B37" s="1" t="str">
        <x:v>I009</x:v>
      </x:c>
      <x:c r="C37" s="1" t="str">
        <x:v>Email</x:v>
      </x:c>
      <x:c r="D37" s="1" t="str">
        <x:v>2025-04</x:v>
      </x:c>
      <x:c r="E37" s="8" t="n">
        <x:v>154452</x:v>
      </x:c>
      <x:c r="F37" s="8" t="n">
        <x:v>161315.77</x:v>
      </x:c>
      <x:c r="G37" s="1" t="n">
        <x:v>327</x:v>
      </x:c>
      <x:c r="H37" s="1" t="n">
        <x:v>189</x:v>
      </x:c>
      <x:c r="I37" s="1" t="n">
        <x:v>141</x:v>
      </x:c>
      <x:c r="J37" s="1" t="n">
        <x:v>92</x:v>
      </x:c>
      <x:c r="K37" s="1" t="n">
        <x:v>69</x:v>
      </x:c>
      <x:c r="L37" s="1" t="n">
        <x:v>39</x:v>
      </x:c>
      <x:c r="M37" s="8" t="n">
        <x:f>IF(H37=0,"n.a.",F37/H37)</x:f>
        <x:v>853.5225925925926</x:v>
      </x:c>
      <x:c r="N37" s="8" t="n">
        <x:f>IF(J37=0,"n.a.",F37/J37)</x:f>
        <x:v>1753.4322826086955</x:v>
      </x:c>
      <x:c r="O37" s="8" t="n">
        <x:f>IF(L37=0,"n.a.",F37/L37)</x:f>
        <x:v>4136.301794871794</x:v>
      </x:c>
      <x:c r="P37" s="9" t="n">
        <x:f>IF(G37=0,"n.a.",L37/G37)</x:f>
        <x:v>0.11926605504587157</x:v>
      </x:c>
      <x:c r="Q37" s="1" t="n">
        <x:v>1</x:v>
      </x:c>
    </x:row>
    <x:row r="38">
      <x:c r="A38" s="1" t="str">
        <x:v>C034</x:v>
      </x:c>
      <x:c r="B38" s="1" t="str">
        <x:v>I010</x:v>
      </x:c>
      <x:c r="C38" s="1" t="str">
        <x:v>Education webinars</x:v>
      </x:c>
      <x:c r="D38" s="1" t="str">
        <x:v>2025-04</x:v>
      </x:c>
      <x:c r="E38" s="8" t="n">
        <x:v>206064</x:v>
      </x:c>
      <x:c r="F38" s="8" t="n">
        <x:v>183100.46</x:v>
      </x:c>
      <x:c r="G38" s="1" t="n">
        <x:v>400</x:v>
      </x:c>
      <x:c r="H38" s="1" t="n">
        <x:v>293</x:v>
      </x:c>
      <x:c r="I38" s="1" t="n">
        <x:v>206</x:v>
      </x:c>
      <x:c r="J38" s="1" t="n">
        <x:v>131</x:v>
      </x:c>
      <x:c r="K38" s="1" t="n">
        <x:v>92</x:v>
      </x:c>
      <x:c r="L38" s="1" t="n">
        <x:v>51</x:v>
      </x:c>
      <x:c r="M38" s="8" t="n">
        <x:f>IF(H38=0,"n.a.",F38/H38)</x:f>
        <x:v>624.9162457337884</x:v>
      </x:c>
      <x:c r="N38" s="8" t="n">
        <x:f>IF(J38=0,"n.a.",F38/J38)</x:f>
        <x:v>1397.7134351145037</x:v>
      </x:c>
      <x:c r="O38" s="8" t="n">
        <x:f>IF(L38=0,"n.a.",F38/L38)</x:f>
        <x:v>3590.2050980392155</x:v>
      </x:c>
      <x:c r="P38" s="9" t="n">
        <x:f>IF(G38=0,"n.a.",L38/G38)</x:f>
        <x:v>0.1275</x:v>
      </x:c>
      <x:c r="Q38" s="1" t="n">
        <x:v>1</x:v>
      </x:c>
    </x:row>
    <x:row r="39">
      <x:c r="A39" s="1" t="str">
        <x:v>C035</x:v>
      </x:c>
      <x:c r="B39" s="1" t="str">
        <x:v>I011</x:v>
      </x:c>
      <x:c r="C39" s="1" t="str">
        <x:v>Display Ads</x:v>
      </x:c>
      <x:c r="D39" s="1" t="str">
        <x:v>2025-04</x:v>
      </x:c>
      <x:c r="E39" s="8" t="n">
        <x:v>189730</x:v>
      </x:c>
      <x:c r="F39" s="8" t="n">
        <x:v>165171.83</x:v>
      </x:c>
      <x:c r="G39" s="1" t="n">
        <x:v>438</x:v>
      </x:c>
      <x:c r="H39" s="1" t="n">
        <x:v>188</x:v>
      </x:c>
      <x:c r="I39" s="1" t="n">
        <x:v>132</x:v>
      </x:c>
      <x:c r="J39" s="1" t="n">
        <x:v>110</x:v>
      </x:c>
      <x:c r="K39" s="1" t="n">
        <x:v>88</x:v>
      </x:c>
      <x:c r="L39" s="1" t="n">
        <x:v>55</x:v>
      </x:c>
      <x:c r="M39" s="8" t="n">
        <x:f>IF(H39=0,"n.a.",F39/H39)</x:f>
        <x:v>878.5735638297872</x:v>
      </x:c>
      <x:c r="N39" s="8" t="n">
        <x:f>IF(J39=0,"n.a.",F39/J39)</x:f>
        <x:v>1501.5620909090908</x:v>
      </x:c>
      <x:c r="O39" s="8" t="n">
        <x:f>IF(L39=0,"n.a.",F39/L39)</x:f>
        <x:v>3003.1241818181816</x:v>
      </x:c>
      <x:c r="P39" s="9" t="n">
        <x:f>IF(G39=0,"n.a.",L39/G39)</x:f>
        <x:v>0.12557077625570776</x:v>
      </x:c>
      <x:c r="Q39" s="1" t="n">
        <x:v>1</x:v>
      </x:c>
    </x:row>
    <x:row r="40">
      <x:c r="A40" s="1" t="str">
        <x:v>C036</x:v>
      </x:c>
      <x:c r="B40" s="1" t="str">
        <x:v>I012</x:v>
      </x:c>
      <x:c r="C40" s="1" t="str">
        <x:v>Google Search</x:v>
      </x:c>
      <x:c r="D40" s="1" t="str">
        <x:v>2025-04</x:v>
      </x:c>
      <x:c r="E40" s="8" t="n">
        <x:v>214469</x:v>
      </x:c>
      <x:c r="F40" s="8" t="n">
        <x:v>239378.78</x:v>
      </x:c>
      <x:c r="G40" s="1" t="n">
        <x:v>475</x:v>
      </x:c>
      <x:c r="H40" s="1" t="n">
        <x:v>353</x:v>
      </x:c>
      <x:c r="I40" s="1" t="n">
        <x:v>237</x:v>
      </x:c>
      <x:c r="J40" s="1" t="n">
        <x:v>151</x:v>
      </x:c>
      <x:c r="K40" s="1" t="n">
        <x:v>111</x:v>
      </x:c>
      <x:c r="L40" s="1" t="n">
        <x:v>58</x:v>
      </x:c>
      <x:c r="M40" s="8" t="n">
        <x:f>IF(H40=0,"n.a.",F40/H40)</x:f>
        <x:v>678.1268555240794</x:v>
      </x:c>
      <x:c r="N40" s="8" t="n">
        <x:f>IF(J40=0,"n.a.",F40/J40)</x:f>
        <x:v>1585.2899337748345</x:v>
      </x:c>
      <x:c r="O40" s="8" t="n">
        <x:f>IF(L40=0,"n.a.",F40/L40)</x:f>
        <x:v>4127.220344827586</x:v>
      </x:c>
      <x:c r="P40" s="9" t="n">
        <x:f>IF(G40=0,"n.a.",L40/G40)</x:f>
        <x:v>0.12210526315789473</x:v>
      </x:c>
      <x:c r="Q40" s="1" t="n">
        <x:v>1</x:v>
      </x:c>
    </x:row>
    <x:row r="41">
      <x:c r="A41" s="1" t="str">
        <x:v>C037</x:v>
      </x:c>
      <x:c r="B41" s="1" t="str">
        <x:v>I013</x:v>
      </x:c>
      <x:c r="C41" s="1" t="str">
        <x:v>Meta Ads</x:v>
      </x:c>
      <x:c r="D41" s="1" t="str">
        <x:v>2025-04</x:v>
      </x:c>
      <x:c r="E41" s="8" t="n">
        <x:v>223210</x:v>
      </x:c>
      <x:c r="F41" s="8" t="n">
        <x:v>234272.59</x:v>
      </x:c>
      <x:c r="G41" s="1" t="n">
        <x:v>428</x:v>
      </x:c>
      <x:c r="H41" s="1" t="n">
        <x:v>228</x:v>
      </x:c>
      <x:c r="I41" s="1" t="n">
        <x:v>156</x:v>
      </x:c>
      <x:c r="J41" s="1" t="n">
        <x:v>97</x:v>
      </x:c>
      <x:c r="K41" s="1" t="n">
        <x:v>75</x:v>
      </x:c>
      <x:c r="L41" s="1" t="n">
        <x:v>48</x:v>
      </x:c>
      <x:c r="M41" s="8" t="n">
        <x:f>IF(H41=0,"n.a.",F41/H41)</x:f>
        <x:v>1027.5113596491228</x:v>
      </x:c>
      <x:c r="N41" s="8" t="n">
        <x:f>IF(J41=0,"n.a.",F41/J41)</x:f>
        <x:v>2415.1813402061857</x:v>
      </x:c>
      <x:c r="O41" s="8" t="n">
        <x:f>IF(L41=0,"n.a.",F41/L41)</x:f>
        <x:v>4880.678958333333</x:v>
      </x:c>
      <x:c r="P41" s="9" t="n">
        <x:f>IF(G41=0,"n.a.",L41/G41)</x:f>
        <x:v>0.11214953271028037</x:v>
      </x:c>
      <x:c r="Q41" s="1" t="n">
        <x:v>1</x:v>
      </x:c>
    </x:row>
    <x:row r="42">
      <x:c r="A42" s="1" t="str">
        <x:v>C038</x:v>
      </x:c>
      <x:c r="B42" s="1" t="str">
        <x:v>I014</x:v>
      </x:c>
      <x:c r="C42" s="1" t="str">
        <x:v>Organic Search</x:v>
      </x:c>
      <x:c r="D42" s="1" t="str">
        <x:v>2025-04</x:v>
      </x:c>
      <x:c r="E42" s="8" t="n">
        <x:v>175440</x:v>
      </x:c>
      <x:c r="F42" s="8" t="n">
        <x:v>158668.88</x:v>
      </x:c>
      <x:c r="G42" s="1" t="n">
        <x:v>566</x:v>
      </x:c>
      <x:c r="H42" s="1" t="n">
        <x:v>405</x:v>
      </x:c>
      <x:c r="I42" s="1" t="n">
        <x:v>292</x:v>
      </x:c>
      <x:c r="J42" s="1" t="n">
        <x:v>186</x:v>
      </x:c>
      <x:c r="K42" s="1" t="n">
        <x:v>139</x:v>
      </x:c>
      <x:c r="L42" s="1" t="n">
        <x:v>76</x:v>
      </x:c>
      <x:c r="M42" s="8" t="n">
        <x:f>IF(H42=0,"n.a.",F42/H42)</x:f>
        <x:v>391.77501234567904</x:v>
      </x:c>
      <x:c r="N42" s="8" t="n">
        <x:f>IF(J42=0,"n.a.",F42/J42)</x:f>
        <x:v>853.058494623656</x:v>
      </x:c>
      <x:c r="O42" s="8" t="n">
        <x:f>IF(L42=0,"n.a.",F42/L42)</x:f>
        <x:v>2087.748421052632</x:v>
      </x:c>
      <x:c r="P42" s="9" t="n">
        <x:f>IF(G42=0,"n.a.",L42/G42)</x:f>
        <x:v>0.13427561837455831</x:v>
      </x:c>
      <x:c r="Q42" s="1" t="n">
        <x:v>1</x:v>
      </x:c>
    </x:row>
    <x:row r="43">
      <x:c r="A43" s="1" t="str">
        <x:v>C039</x:v>
      </x:c>
      <x:c r="B43" s="1" t="str">
        <x:v>I015</x:v>
      </x:c>
      <x:c r="C43" s="1" t="str">
        <x:v>Referral</x:v>
      </x:c>
      <x:c r="D43" s="1" t="str">
        <x:v>2025-04</x:v>
      </x:c>
      <x:c r="E43" s="8" t="n">
        <x:v>178520</x:v>
      </x:c>
      <x:c r="F43" s="8" t="n">
        <x:v>121061.39</x:v>
      </x:c>
      <x:c r="G43" s="1" t="n">
        <x:v>406</x:v>
      </x:c>
      <x:c r="H43" s="1" t="n">
        <x:v>282</x:v>
      </x:c>
      <x:c r="I43" s="1" t="n">
        <x:v>198</x:v>
      </x:c>
      <x:c r="J43" s="1" t="n">
        <x:v>130</x:v>
      </x:c>
      <x:c r="K43" s="1" t="n">
        <x:v>102</x:v>
      </x:c>
      <x:c r="L43" s="1" t="n">
        <x:v>61</x:v>
      </x:c>
      <x:c r="M43" s="8" t="n">
        <x:f>IF(H43=0,"n.a.",F43/H43)</x:f>
        <x:v>429.29570921985817</x:v>
      </x:c>
      <x:c r="N43" s="8" t="n">
        <x:f>IF(J43=0,"n.a.",F43/J43)</x:f>
        <x:v>931.2414615384615</x:v>
      </x:c>
      <x:c r="O43" s="8" t="n">
        <x:f>IF(L43=0,"n.a.",F43/L43)</x:f>
        <x:v>1984.612950819672</x:v>
      </x:c>
      <x:c r="P43" s="9" t="n">
        <x:f>IF(G43=0,"n.a.",L43/G43)</x:f>
        <x:v>0.15024630541871922</x:v>
      </x:c>
      <x:c r="Q43" s="1" t="n">
        <x:v>1</x:v>
      </x:c>
    </x:row>
    <x:row r="44">
      <x:c r="A44" s="1" t="str">
        <x:v>C040</x:v>
      </x:c>
      <x:c r="B44" s="1" t="str">
        <x:v>I016</x:v>
      </x:c>
      <x:c r="C44" s="1" t="str">
        <x:v>Email</x:v>
      </x:c>
      <x:c r="D44" s="1" t="str">
        <x:v>2025-04</x:v>
      </x:c>
      <x:c r="E44" s="8" t="n">
        <x:v>216050</x:v>
      </x:c>
      <x:c r="F44" s="8" t="n">
        <x:v>197107.79</x:v>
      </x:c>
      <x:c r="G44" s="1" t="n">
        <x:v>468</x:v>
      </x:c>
      <x:c r="H44" s="1" t="n">
        <x:v>242</x:v>
      </x:c>
      <x:c r="I44" s="1" t="n">
        <x:v>155</x:v>
      </x:c>
      <x:c r="J44" s="1" t="n">
        <x:v>123</x:v>
      </x:c>
      <x:c r="K44" s="1" t="n">
        <x:v>84</x:v>
      </x:c>
      <x:c r="L44" s="1" t="n">
        <x:v>47</x:v>
      </x:c>
      <x:c r="M44" s="8" t="n">
        <x:f>IF(H44=0,"n.a.",F44/H44)</x:f>
        <x:v>814.495</x:v>
      </x:c>
      <x:c r="N44" s="8" t="n">
        <x:f>IF(J44=0,"n.a.",F44/J44)</x:f>
        <x:v>1602.5023577235772</x:v>
      </x:c>
      <x:c r="O44" s="8" t="n">
        <x:f>IF(L44=0,"n.a.",F44/L44)</x:f>
        <x:v>4193.782765957447</x:v>
      </x:c>
      <x:c r="P44" s="9" t="n">
        <x:f>IF(G44=0,"n.a.",L44/G44)</x:f>
        <x:v>0.10042735042735043</x:v>
      </x:c>
      <x:c r="Q44" s="1" t="n">
        <x:v>1</x:v>
      </x:c>
    </x:row>
    <x:row r="45">
      <x:c r="A45" s="1" t="str">
        <x:v>C041</x:v>
      </x:c>
      <x:c r="B45" s="1" t="str">
        <x:v>I017</x:v>
      </x:c>
      <x:c r="C45" s="1" t="str">
        <x:v>Education webinars</x:v>
      </x:c>
      <x:c r="D45" s="1" t="str">
        <x:v>2025-05</x:v>
      </x:c>
      <x:c r="E45" s="8" t="n">
        <x:v>196300</x:v>
      </x:c>
      <x:c r="F45" s="8" t="n">
        <x:v>208670.5</x:v>
      </x:c>
      <x:c r="G45" s="1" t="n">
        <x:v>507</x:v>
      </x:c>
      <x:c r="H45" s="1" t="n">
        <x:v>356</x:v>
      </x:c>
      <x:c r="I45" s="1" t="n">
        <x:v>243</x:v>
      </x:c>
      <x:c r="J45" s="1" t="n">
        <x:v>188</x:v>
      </x:c>
      <x:c r="K45" s="1" t="n">
        <x:v>140</x:v>
      </x:c>
      <x:c r="L45" s="1" t="n">
        <x:v>74</x:v>
      </x:c>
      <x:c r="M45" s="8" t="n">
        <x:f>IF(H45=0,"n.a.",F45/H45)</x:f>
        <x:v>586.1530898876405</x:v>
      </x:c>
      <x:c r="N45" s="8" t="n">
        <x:f>IF(J45=0,"n.a.",F45/J45)</x:f>
        <x:v>1109.9494680851064</x:v>
      </x:c>
      <x:c r="O45" s="8" t="n">
        <x:f>IF(L45=0,"n.a.",F45/L45)</x:f>
        <x:v>2819.8716216216217</x:v>
      </x:c>
      <x:c r="P45" s="9" t="n">
        <x:f>IF(G45=0,"n.a.",L45/G45)</x:f>
        <x:v>0.14595660749506903</x:v>
      </x:c>
      <x:c r="Q45" s="1" t="n">
        <x:v>1</x:v>
      </x:c>
    </x:row>
    <x:row r="46">
      <x:c r="A46" s="1" t="str">
        <x:v>C042</x:v>
      </x:c>
      <x:c r="B46" s="1" t="str">
        <x:v>I018</x:v>
      </x:c>
      <x:c r="C46" s="1" t="str">
        <x:v>Display Ads</x:v>
      </x:c>
      <x:c r="D46" s="1" t="str">
        <x:v>2025-05</x:v>
      </x:c>
      <x:c r="E46" s="8" t="n">
        <x:v>122068</x:v>
      </x:c>
      <x:c r="F46" s="8" t="n">
        <x:v>123549.78</x:v>
      </x:c>
      <x:c r="G46" s="1" t="n">
        <x:v>302</x:v>
      </x:c>
      <x:c r="H46" s="1" t="n">
        <x:v>133</x:v>
      </x:c>
      <x:c r="I46" s="1" t="n">
        <x:v>82</x:v>
      </x:c>
      <x:c r="J46" s="1" t="n">
        <x:v>65</x:v>
      </x:c>
      <x:c r="K46" s="1" t="n">
        <x:v>50</x:v>
      </x:c>
      <x:c r="L46" s="1" t="n">
        <x:v>22</x:v>
      </x:c>
      <x:c r="M46" s="8" t="n">
        <x:f>IF(H46=0,"n.a.",F46/H46)</x:f>
        <x:v>928.9457142857143</x:v>
      </x:c>
      <x:c r="N46" s="8" t="n">
        <x:f>IF(J46=0,"n.a.",F46/J46)</x:f>
        <x:v>1900.765846153846</x:v>
      </x:c>
      <x:c r="O46" s="8" t="n">
        <x:f>IF(L46=0,"n.a.",F46/L46)</x:f>
        <x:v>5615.899090909091</x:v>
      </x:c>
      <x:c r="P46" s="9" t="n">
        <x:f>IF(G46=0,"n.a.",L46/G46)</x:f>
        <x:v>0.0728476821192053</x:v>
      </x:c>
      <x:c r="Q46" s="1" t="n">
        <x:v>1</x:v>
      </x:c>
    </x:row>
    <x:row r="47">
      <x:c r="A47" s="1" t="str">
        <x:v>C043</x:v>
      </x:c>
      <x:c r="B47" s="1" t="str">
        <x:v>I019</x:v>
      </x:c>
      <x:c r="C47" s="1" t="str">
        <x:v>Google Search</x:v>
      </x:c>
      <x:c r="D47" s="1" t="str">
        <x:v>2025-05</x:v>
      </x:c>
      <x:c r="E47" s="8" t="n">
        <x:v>131886</x:v>
      </x:c>
      <x:c r="F47" s="8" t="n">
        <x:v>86270.56</x:v>
      </x:c>
      <x:c r="G47" s="1" t="n">
        <x:v>491</x:v>
      </x:c>
      <x:c r="H47" s="1" t="n">
        <x:v>283</x:v>
      </x:c>
      <x:c r="I47" s="1" t="n">
        <x:v>200</x:v>
      </x:c>
      <x:c r="J47" s="1" t="n">
        <x:v>147</x:v>
      </x:c>
      <x:c r="K47" s="1" t="n">
        <x:v>112</x:v>
      </x:c>
      <x:c r="L47" s="1" t="n">
        <x:v>68</x:v>
      </x:c>
      <x:c r="M47" s="8" t="n">
        <x:f>IF(H47=0,"n.a.",F47/H47)</x:f>
        <x:v>304.8429681978798</x:v>
      </x:c>
      <x:c r="N47" s="8" t="n">
        <x:f>IF(J47=0,"n.a.",F47/J47)</x:f>
        <x:v>586.8745578231292</x:v>
      </x:c>
      <x:c r="O47" s="8" t="n">
        <x:f>IF(L47=0,"n.a.",F47/L47)</x:f>
        <x:v>1268.684705882353</x:v>
      </x:c>
      <x:c r="P47" s="9" t="n">
        <x:f>IF(G47=0,"n.a.",L47/G47)</x:f>
        <x:v>0.1384928716904277</x:v>
      </x:c>
      <x:c r="Q47" s="1" t="n">
        <x:v>1</x:v>
      </x:c>
    </x:row>
    <x:row r="48">
      <x:c r="A48" s="1" t="str">
        <x:v>C044</x:v>
      </x:c>
      <x:c r="B48" s="1" t="str">
        <x:v>I020</x:v>
      </x:c>
      <x:c r="C48" s="1" t="str">
        <x:v>Meta Ads</x:v>
      </x:c>
      <x:c r="D48" s="1" t="str">
        <x:v>2025-05</x:v>
      </x:c>
      <x:c r="E48" s="8" t="n">
        <x:v>205129</x:v>
      </x:c>
      <x:c r="F48" s="8" t="n">
        <x:v>226127.93</x:v>
      </x:c>
      <x:c r="G48" s="1" t="n">
        <x:v>400</x:v>
      </x:c>
      <x:c r="H48" s="1" t="n">
        <x:v>207</x:v>
      </x:c>
      <x:c r="I48" s="1" t="n">
        <x:v>158</x:v>
      </x:c>
      <x:c r="J48" s="1" t="n">
        <x:v>107</x:v>
      </x:c>
      <x:c r="K48" s="1" t="n">
        <x:v>80</x:v>
      </x:c>
      <x:c r="L48" s="1" t="n">
        <x:v>40</x:v>
      </x:c>
      <x:c r="M48" s="8" t="n">
        <x:f>IF(H48=0,"n.a.",F48/H48)</x:f>
        <x:v>1092.405458937198</x:v>
      </x:c>
      <x:c r="N48" s="8" t="n">
        <x:f>IF(J48=0,"n.a.",F48/J48)</x:f>
        <x:v>2113.3451401869156</x:v>
      </x:c>
      <x:c r="O48" s="8" t="n">
        <x:f>IF(L48=0,"n.a.",F48/L48)</x:f>
        <x:v>5653.1982499999995</x:v>
      </x:c>
      <x:c r="P48" s="9" t="n">
        <x:f>IF(G48=0,"n.a.",L48/G48)</x:f>
        <x:v>0.1</x:v>
      </x:c>
      <x:c r="Q48" s="1" t="n">
        <x:v>1</x:v>
      </x:c>
    </x:row>
    <x:row r="49">
      <x:c r="A49" s="1" t="str">
        <x:v>C045</x:v>
      </x:c>
      <x:c r="B49" s="1" t="str">
        <x:v>I021</x:v>
      </x:c>
      <x:c r="C49" s="1" t="str">
        <x:v>Organic Search</x:v>
      </x:c>
      <x:c r="D49" s="1" t="str">
        <x:v>2025-05</x:v>
      </x:c>
      <x:c r="E49" s="8" t="n">
        <x:v>192226</x:v>
      </x:c>
      <x:c r="F49" s="8" t="n">
        <x:v>176309.73</x:v>
      </x:c>
      <x:c r="G49" s="1" t="n">
        <x:v>592</x:v>
      </x:c>
      <x:c r="H49" s="1" t="n">
        <x:v>379</x:v>
      </x:c>
      <x:c r="I49" s="1" t="n">
        <x:v>256</x:v>
      </x:c>
      <x:c r="J49" s="1" t="n">
        <x:v>201</x:v>
      </x:c>
      <x:c r="K49" s="1" t="n">
        <x:v>147</x:v>
      </x:c>
      <x:c r="L49" s="1" t="n">
        <x:v>83</x:v>
      </x:c>
      <x:c r="M49" s="8" t="n">
        <x:f>IF(H49=0,"n.a.",F49/H49)</x:f>
        <x:v>465.19717678100267</x:v>
      </x:c>
      <x:c r="N49" s="8" t="n">
        <x:f>IF(J49=0,"n.a.",F49/J49)</x:f>
        <x:v>877.1628358208956</x:v>
      </x:c>
      <x:c r="O49" s="8" t="n">
        <x:f>IF(L49=0,"n.a.",F49/L49)</x:f>
        <x:v>2124.213614457831</x:v>
      </x:c>
      <x:c r="P49" s="9" t="n">
        <x:f>IF(G49=0,"n.a.",L49/G49)</x:f>
        <x:v>0.14020270270270271</x:v>
      </x:c>
      <x:c r="Q49" s="1" t="n">
        <x:v>1</x:v>
      </x:c>
    </x:row>
    <x:row r="50">
      <x:c r="A50" s="1" t="str">
        <x:v>C046</x:v>
      </x:c>
      <x:c r="B50" s="1" t="str">
        <x:v>I022</x:v>
      </x:c>
      <x:c r="C50" s="1" t="str">
        <x:v>Referral</x:v>
      </x:c>
      <x:c r="D50" s="1" t="str">
        <x:v>2025-05</x:v>
      </x:c>
      <x:c r="E50" s="8" t="n">
        <x:v>213846</x:v>
      </x:c>
      <x:c r="F50" s="8" t="n">
        <x:v>210792.46</x:v>
      </x:c>
      <x:c r="G50" s="1" t="n">
        <x:v>409</x:v>
      </x:c>
      <x:c r="H50" s="1" t="n">
        <x:v>314</x:v>
      </x:c>
      <x:c r="I50" s="1" t="n">
        <x:v>219</x:v>
      </x:c>
      <x:c r="J50" s="1" t="n">
        <x:v>184</x:v>
      </x:c>
      <x:c r="K50" s="1" t="n">
        <x:v>149</x:v>
      </x:c>
      <x:c r="L50" s="1" t="n">
        <x:v>90</x:v>
      </x:c>
      <x:c r="M50" s="8" t="n">
        <x:f>IF(H50=0,"n.a.",F50/H50)</x:f>
        <x:v>671.3135668789809</x:v>
      </x:c>
      <x:c r="N50" s="8" t="n">
        <x:f>IF(J50=0,"n.a.",F50/J50)</x:f>
        <x:v>1145.6111956521738</x:v>
      </x:c>
      <x:c r="O50" s="8" t="n">
        <x:f>IF(L50=0,"n.a.",F50/L50)</x:f>
        <x:v>2342.1384444444443</x:v>
      </x:c>
      <x:c r="P50" s="9" t="n">
        <x:f>IF(G50=0,"n.a.",L50/G50)</x:f>
        <x:v>0.2200488997555012</x:v>
      </x:c>
      <x:c r="Q50" s="1" t="n">
        <x:v>1</x:v>
      </x:c>
    </x:row>
    <x:row r="51">
      <x:c r="A51" s="1" t="str">
        <x:v>C047</x:v>
      </x:c>
      <x:c r="B51" s="1" t="str">
        <x:v>I023</x:v>
      </x:c>
      <x:c r="C51" s="1" t="str">
        <x:v>Email</x:v>
      </x:c>
      <x:c r="D51" s="1" t="str">
        <x:v>2025-05</x:v>
      </x:c>
      <x:c r="E51" s="8" t="n">
        <x:v>246695</x:v>
      </x:c>
      <x:c r="F51" s="8" t="n">
        <x:v>185463.08</x:v>
      </x:c>
      <x:c r="G51" s="1" t="n">
        <x:v>541</x:v>
      </x:c>
      <x:c r="H51" s="1" t="n">
        <x:v>305</x:v>
      </x:c>
      <x:c r="I51" s="1" t="n">
        <x:v>223</x:v>
      </x:c>
      <x:c r="J51" s="1" t="n">
        <x:v>143</x:v>
      </x:c>
      <x:c r="K51" s="1" t="n">
        <x:v>110</x:v>
      </x:c>
      <x:c r="L51" s="1" t="n">
        <x:v>69</x:v>
      </x:c>
      <x:c r="M51" s="8" t="n">
        <x:f>IF(H51=0,"n.a.",F51/H51)</x:f>
        <x:v>608.0756721311475</x:v>
      </x:c>
      <x:c r="N51" s="8" t="n">
        <x:f>IF(J51=0,"n.a.",F51/J51)</x:f>
        <x:v>1296.9446153846152</x:v>
      </x:c>
      <x:c r="O51" s="8" t="n">
        <x:f>IF(L51=0,"n.a.",F51/L51)</x:f>
        <x:v>2687.870724637681</x:v>
      </x:c>
      <x:c r="P51" s="9" t="n">
        <x:f>IF(G51=0,"n.a.",L51/G51)</x:f>
        <x:v>0.12754158964879853</x:v>
      </x:c>
      <x:c r="Q51" s="1" t="n">
        <x:v>1</x:v>
      </x:c>
    </x:row>
    <x:row r="52">
      <x:c r="A52" s="1" t="str">
        <x:v>C048</x:v>
      </x:c>
      <x:c r="B52" s="1" t="str">
        <x:v>I024</x:v>
      </x:c>
      <x:c r="C52" s="1" t="str">
        <x:v>Education webinars</x:v>
      </x:c>
      <x:c r="D52" s="1" t="str">
        <x:v>2025-05</x:v>
      </x:c>
      <x:c r="E52" s="8" t="n">
        <x:v>102666</x:v>
      </x:c>
      <x:c r="F52" s="8" t="n">
        <x:v>97137.57</x:v>
      </x:c>
      <x:c r="G52" s="1" t="n">
        <x:v>382</x:v>
      </x:c>
      <x:c r="H52" s="1" t="n">
        <x:v>284</x:v>
      </x:c>
      <x:c r="I52" s="1" t="n">
        <x:v>211</x:v>
      </x:c>
      <x:c r="J52" s="1" t="n">
        <x:v>116</x:v>
      </x:c>
      <x:c r="K52" s="1" t="n">
        <x:v>90</x:v>
      </x:c>
      <x:c r="L52" s="1" t="n">
        <x:v>53</x:v>
      </x:c>
      <x:c r="M52" s="8" t="n">
        <x:f>IF(H52=0,"n.a.",F52/H52)</x:f>
        <x:v>342.03369718309864</x:v>
      </x:c>
      <x:c r="N52" s="8" t="n">
        <x:f>IF(J52=0,"n.a.",F52/J52)</x:f>
        <x:v>837.3928448275863</x:v>
      </x:c>
      <x:c r="O52" s="8" t="n">
        <x:f>IF(L52=0,"n.a.",F52/L52)</x:f>
        <x:v>1832.7843396226417</x:v>
      </x:c>
      <x:c r="P52" s="9" t="n">
        <x:f>IF(G52=0,"n.a.",L52/G52)</x:f>
        <x:v>0.1387434554973822</x:v>
      </x:c>
      <x:c r="Q52" s="1" t="n">
        <x:v>1</x:v>
      </x:c>
    </x:row>
    <x:row r="53">
      <x:c r="A53" s="1" t="str">
        <x:v>C049</x:v>
      </x:c>
      <x:c r="B53" s="1" t="str">
        <x:v>I001</x:v>
      </x:c>
      <x:c r="C53" s="1" t="str">
        <x:v>Display Ads</x:v>
      </x:c>
      <x:c r="D53" s="1" t="str">
        <x:v>2025-05</x:v>
      </x:c>
      <x:c r="E53" s="8" t="n">
        <x:v>189750</x:v>
      </x:c>
      <x:c r="F53" s="8" t="n">
        <x:v>131702.64</x:v>
      </x:c>
      <x:c r="G53" s="1" t="n">
        <x:v>268</x:v>
      </x:c>
      <x:c r="H53" s="1" t="n">
        <x:v>115</x:v>
      </x:c>
      <x:c r="I53" s="1" t="n">
        <x:v>80</x:v>
      </x:c>
      <x:c r="J53" s="1" t="n">
        <x:v>46</x:v>
      </x:c>
      <x:c r="K53" s="1" t="n">
        <x:v>34</x:v>
      </x:c>
      <x:c r="L53" s="1" t="n">
        <x:v>20</x:v>
      </x:c>
      <x:c r="M53" s="8" t="n">
        <x:f>IF(H53=0,"n.a.",F53/H53)</x:f>
        <x:v>1145.2403478260871</x:v>
      </x:c>
      <x:c r="N53" s="8" t="n">
        <x:f>IF(J53=0,"n.a.",F53/J53)</x:f>
        <x:v>2863.1008695652176</x:v>
      </x:c>
      <x:c r="O53" s="8" t="n">
        <x:f>IF(L53=0,"n.a.",F53/L53)</x:f>
        <x:v>6585.1320000000005</x:v>
      </x:c>
      <x:c r="P53" s="9" t="n">
        <x:f>IF(G53=0,"n.a.",L53/G53)</x:f>
        <x:v>0.07462686567164178</x:v>
      </x:c>
      <x:c r="Q53" s="1" t="n">
        <x:v>1</x:v>
      </x:c>
    </x:row>
    <x:row r="54">
      <x:c r="A54" s="1" t="str">
        <x:v>C050</x:v>
      </x:c>
      <x:c r="B54" s="1" t="str">
        <x:v>I002</x:v>
      </x:c>
      <x:c r="C54" s="1" t="str">
        <x:v>Google Search</x:v>
      </x:c>
      <x:c r="D54" s="1" t="str">
        <x:v>2025-05</x:v>
      </x:c>
      <x:c r="E54" s="8" t="n">
        <x:v>143077</x:v>
      </x:c>
      <x:c r="F54" s="8" t="n">
        <x:v>100146.89</x:v>
      </x:c>
      <x:c r="G54" s="1" t="n">
        <x:v>467</x:v>
      </x:c>
      <x:c r="H54" s="1" t="n">
        <x:v>327</x:v>
      </x:c>
      <x:c r="I54" s="1" t="n">
        <x:v>222</x:v>
      </x:c>
      <x:c r="J54" s="1" t="n">
        <x:v>162</x:v>
      </x:c>
      <x:c r="K54" s="1" t="n">
        <x:v>124</x:v>
      </x:c>
      <x:c r="L54" s="1" t="n">
        <x:v>70</x:v>
      </x:c>
      <x:c r="M54" s="8" t="n">
        <x:f>IF(H54=0,"n.a.",F54/H54)</x:f>
        <x:v>306.2596024464832</x:v>
      </x:c>
      <x:c r="N54" s="8" t="n">
        <x:f>IF(J54=0,"n.a.",F54/J54)</x:f>
        <x:v>618.1906790123456</x:v>
      </x:c>
      <x:c r="O54" s="8" t="n">
        <x:f>IF(L54=0,"n.a.",F54/L54)</x:f>
        <x:v>1430.6698571428572</x:v>
      </x:c>
      <x:c r="P54" s="9" t="n">
        <x:f>IF(G54=0,"n.a.",L54/G54)</x:f>
        <x:v>0.14989293361884368</x:v>
      </x:c>
      <x:c r="Q54" s="1" t="n">
        <x:v>1</x:v>
      </x:c>
    </x:row>
    <x:row r="55">
      <x:c r="A55" s="1" t="str">
        <x:v>C051</x:v>
      </x:c>
      <x:c r="B55" s="1" t="str">
        <x:v>I003</x:v>
      </x:c>
      <x:c r="C55" s="1" t="str">
        <x:v>Meta Ads</x:v>
      </x:c>
      <x:c r="D55" s="1" t="str">
        <x:v>2025-06</x:v>
      </x:c>
      <x:c r="E55" s="8" t="n">
        <x:v>157698</x:v>
      </x:c>
      <x:c r="F55" s="8" t="n">
        <x:v>138289.59</x:v>
      </x:c>
      <x:c r="G55" s="1" t="n">
        <x:v>407</x:v>
      </x:c>
      <x:c r="H55" s="1" t="n">
        <x:v>179</x:v>
      </x:c>
      <x:c r="I55" s="1" t="n">
        <x:v>122</x:v>
      </x:c>
      <x:c r="J55" s="1" t="n">
        <x:v>92</x:v>
      </x:c>
      <x:c r="K55" s="1" t="n">
        <x:v>70</x:v>
      </x:c>
      <x:c r="L55" s="1" t="n">
        <x:v>44</x:v>
      </x:c>
      <x:c r="M55" s="8" t="n">
        <x:f>IF(H55=0,"n.a.",F55/H55)</x:f>
        <x:v>772.5675418994413</x:v>
      </x:c>
      <x:c r="N55" s="8" t="n">
        <x:f>IF(J55=0,"n.a.",F55/J55)</x:f>
        <x:v>1503.1477173913042</x:v>
      </x:c>
      <x:c r="O55" s="8" t="n">
        <x:f>IF(L55=0,"n.a.",F55/L55)</x:f>
        <x:v>3142.945227272727</x:v>
      </x:c>
      <x:c r="P55" s="9" t="n">
        <x:f>IF(G55=0,"n.a.",L55/G55)</x:f>
        <x:v>0.10810810810810811</x:v>
      </x:c>
      <x:c r="Q55" s="1" t="n">
        <x:v>1</x:v>
      </x:c>
    </x:row>
    <x:row r="56">
      <x:c r="A56" s="1" t="str">
        <x:v>C052</x:v>
      </x:c>
      <x:c r="B56" s="1" t="str">
        <x:v>I004</x:v>
      </x:c>
      <x:c r="C56" s="1" t="str">
        <x:v>Organic Search</x:v>
      </x:c>
      <x:c r="D56" s="1" t="str">
        <x:v>2025-06</x:v>
      </x:c>
      <x:c r="E56" s="8" t="n">
        <x:v>222884</x:v>
      </x:c>
      <x:c r="F56" s="8" t="n">
        <x:v>222150.14</x:v>
      </x:c>
      <x:c r="G56" s="1" t="n">
        <x:v>508</x:v>
      </x:c>
      <x:c r="H56" s="1" t="n">
        <x:v>300</x:v>
      </x:c>
      <x:c r="I56" s="1" t="n">
        <x:v>206</x:v>
      </x:c>
      <x:c r="J56" s="1" t="n">
        <x:v>152</x:v>
      </x:c>
      <x:c r="K56" s="1" t="n">
        <x:v>111</x:v>
      </x:c>
      <x:c r="L56" s="1" t="n">
        <x:v>66</x:v>
      </x:c>
      <x:c r="M56" s="8" t="n">
        <x:f>IF(H56=0,"n.a.",F56/H56)</x:f>
        <x:v>740.5004666666667</x:v>
      </x:c>
      <x:c r="N56" s="8" t="n">
        <x:f>IF(J56=0,"n.a.",F56/J56)</x:f>
        <x:v>1461.5140789473685</x:v>
      </x:c>
      <x:c r="O56" s="8" t="n">
        <x:f>IF(L56=0,"n.a.",F56/L56)</x:f>
        <x:v>3365.9112121212124</x:v>
      </x:c>
      <x:c r="P56" s="9" t="n">
        <x:f>IF(G56=0,"n.a.",L56/G56)</x:f>
        <x:v>0.12992125984251968</x:v>
      </x:c>
      <x:c r="Q56" s="1" t="n">
        <x:v>1</x:v>
      </x:c>
    </x:row>
    <x:row r="57">
      <x:c r="A57" s="1" t="str">
        <x:v>C053</x:v>
      </x:c>
      <x:c r="B57" s="1" t="str">
        <x:v>I005</x:v>
      </x:c>
      <x:c r="C57" s="1" t="str">
        <x:v>Referral</x:v>
      </x:c>
      <x:c r="D57" s="1" t="str">
        <x:v>2025-06</x:v>
      </x:c>
      <x:c r="E57" s="8" t="n">
        <x:v>133345</x:v>
      </x:c>
      <x:c r="F57" s="8" t="n">
        <x:v>103107.72</x:v>
      </x:c>
      <x:c r="G57" s="1" t="n">
        <x:v>885</x:v>
      </x:c>
      <x:c r="H57" s="1" t="n">
        <x:v>610</x:v>
      </x:c>
      <x:c r="I57" s="1" t="n">
        <x:v>428</x:v>
      </x:c>
      <x:c r="J57" s="1" t="n">
        <x:v>266</x:v>
      </x:c>
      <x:c r="K57" s="1" t="n">
        <x:v>195</x:v>
      </x:c>
      <x:c r="L57" s="1" t="n">
        <x:v>117</x:v>
      </x:c>
      <x:c r="M57" s="8" t="n">
        <x:f>IF(H57=0,"n.a.",F57/H57)</x:f>
        <x:v>169.02904918032786</x:v>
      </x:c>
      <x:c r="N57" s="8" t="n">
        <x:f>IF(J57=0,"n.a.",F57/J57)</x:f>
        <x:v>387.623007518797</x:v>
      </x:c>
      <x:c r="O57" s="8" t="n">
        <x:f>IF(L57=0,"n.a.",F57/L57)</x:f>
        <x:v>881.262564102564</x:v>
      </x:c>
      <x:c r="P57" s="9" t="n">
        <x:f>IF(G57=0,"n.a.",L57/G57)</x:f>
        <x:v>0.13220338983050847</x:v>
      </x:c>
      <x:c r="Q57" s="1" t="n">
        <x:v>1</x:v>
      </x:c>
    </x:row>
    <x:row r="58">
      <x:c r="A58" s="1" t="str">
        <x:v>C054</x:v>
      </x:c>
      <x:c r="B58" s="1" t="str">
        <x:v>I006</x:v>
      </x:c>
      <x:c r="C58" s="1" t="str">
        <x:v>Email</x:v>
      </x:c>
      <x:c r="D58" s="1" t="str">
        <x:v>2025-06</x:v>
      </x:c>
      <x:c r="E58" s="8" t="n">
        <x:v>235426</x:v>
      </x:c>
      <x:c r="F58" s="8" t="n">
        <x:v>260896.77</x:v>
      </x:c>
      <x:c r="G58" s="1" t="n">
        <x:v>382</x:v>
      </x:c>
      <x:c r="H58" s="1" t="n">
        <x:v>224</x:v>
      </x:c>
      <x:c r="I58" s="1" t="n">
        <x:v>155</x:v>
      </x:c>
      <x:c r="J58" s="1" t="n">
        <x:v>116</x:v>
      </x:c>
      <x:c r="K58" s="1" t="n">
        <x:v>92</x:v>
      </x:c>
      <x:c r="L58" s="1" t="n">
        <x:v>54</x:v>
      </x:c>
      <x:c r="M58" s="8" t="n">
        <x:f>IF(H58=0,"n.a.",F58/H58)</x:f>
        <x:v>1164.7177232142856</x:v>
      </x:c>
      <x:c r="N58" s="8" t="n">
        <x:f>IF(J58=0,"n.a.",F58/J58)</x:f>
        <x:v>2249.1100862068965</x:v>
      </x:c>
      <x:c r="O58" s="8" t="n">
        <x:f>IF(L58=0,"n.a.",F58/L58)</x:f>
        <x:v>4831.421666666666</x:v>
      </x:c>
      <x:c r="P58" s="9" t="n">
        <x:f>IF(G58=0,"n.a.",L58/G58)</x:f>
        <x:v>0.14136125654450263</x:v>
      </x:c>
      <x:c r="Q58" s="1" t="n">
        <x:v>1</x:v>
      </x:c>
    </x:row>
    <x:row r="59">
      <x:c r="A59" s="1" t="str">
        <x:v>C055</x:v>
      </x:c>
      <x:c r="B59" s="1" t="str">
        <x:v>I007</x:v>
      </x:c>
      <x:c r="C59" s="1" t="str">
        <x:v>Education webinars</x:v>
      </x:c>
      <x:c r="D59" s="1" t="str">
        <x:v>2025-06</x:v>
      </x:c>
      <x:c r="E59" s="8" t="n">
        <x:v>124855</x:v>
      </x:c>
      <x:c r="F59" s="8" t="n">
        <x:v>127604.35</x:v>
      </x:c>
      <x:c r="G59" s="1" t="n">
        <x:v>384</x:v>
      </x:c>
      <x:c r="H59" s="1" t="n">
        <x:v>255</x:v>
      </x:c>
      <x:c r="I59" s="1" t="n">
        <x:v>168</x:v>
      </x:c>
      <x:c r="J59" s="1" t="n">
        <x:v>123</x:v>
      </x:c>
      <x:c r="K59" s="1" t="n">
        <x:v>96</x:v>
      </x:c>
      <x:c r="L59" s="1" t="n">
        <x:v>64</x:v>
      </x:c>
      <x:c r="M59" s="8" t="n">
        <x:f>IF(H59=0,"n.a.",F59/H59)</x:f>
        <x:v>500.40921568627454</x:v>
      </x:c>
      <x:c r="N59" s="8" t="n">
        <x:f>IF(J59=0,"n.a.",F59/J59)</x:f>
        <x:v>1037.4337398373984</x:v>
      </x:c>
      <x:c r="O59" s="8" t="n">
        <x:f>IF(L59=0,"n.a.",F59/L59)</x:f>
        <x:v>1993.81796875</x:v>
      </x:c>
      <x:c r="P59" s="9" t="n">
        <x:f>IF(G59=0,"n.a.",L59/G59)</x:f>
        <x:v>0.16666666666666666</x:v>
      </x:c>
      <x:c r="Q59" s="1" t="n">
        <x:v>1</x:v>
      </x:c>
    </x:row>
    <x:row r="60">
      <x:c r="A60" s="1" t="str">
        <x:v>C056</x:v>
      </x:c>
      <x:c r="B60" s="1" t="str">
        <x:v>I008</x:v>
      </x:c>
      <x:c r="C60" s="1" t="str">
        <x:v>Display Ads</x:v>
      </x:c>
      <x:c r="D60" s="1" t="str">
        <x:v>2025-06</x:v>
      </x:c>
      <x:c r="E60" s="8" t="n">
        <x:v>172851</x:v>
      </x:c>
      <x:c r="F60" s="8" t="n">
        <x:v>122971.13</x:v>
      </x:c>
      <x:c r="G60" s="1" t="n">
        <x:v>297</x:v>
      </x:c>
      <x:c r="H60" s="1" t="n">
        <x:v>117</x:v>
      </x:c>
      <x:c r="I60" s="1" t="n">
        <x:v>80</x:v>
      </x:c>
      <x:c r="J60" s="1" t="n">
        <x:v>67</x:v>
      </x:c>
      <x:c r="K60" s="1" t="n">
        <x:v>41</x:v>
      </x:c>
      <x:c r="L60" s="1" t="n">
        <x:v>19</x:v>
      </x:c>
      <x:c r="M60" s="8" t="n">
        <x:f>IF(H60=0,"n.a.",F60/H60)</x:f>
        <x:v>1051.0352991452992</x:v>
      </x:c>
      <x:c r="N60" s="8" t="n">
        <x:f>IF(J60=0,"n.a.",F60/J60)</x:f>
        <x:v>1835.39</x:v>
      </x:c>
      <x:c r="O60" s="8" t="n">
        <x:f>IF(L60=0,"n.a.",F60/L60)</x:f>
        <x:v>6472.164736842105</x:v>
      </x:c>
      <x:c r="P60" s="9" t="n">
        <x:f>IF(G60=0,"n.a.",L60/G60)</x:f>
        <x:v>0.06397306397306397</x:v>
      </x:c>
      <x:c r="Q60" s="1" t="n">
        <x:v>1</x:v>
      </x:c>
    </x:row>
    <x:row r="61">
      <x:c r="A61" s="1" t="str">
        <x:v>C057</x:v>
      </x:c>
      <x:c r="B61" s="1" t="str">
        <x:v>I009</x:v>
      </x:c>
      <x:c r="C61" s="1" t="str">
        <x:v>Google Search</x:v>
      </x:c>
      <x:c r="D61" s="1" t="str">
        <x:v>2025-06</x:v>
      </x:c>
      <x:c r="E61" s="8" t="n">
        <x:v>130503</x:v>
      </x:c>
      <x:c r="F61" s="8" t="n">
        <x:v>145895.85</x:v>
      </x:c>
      <x:c r="G61" s="1" t="n">
        <x:v>296</x:v>
      </x:c>
      <x:c r="H61" s="1" t="n">
        <x:v>205</x:v>
      </x:c>
      <x:c r="I61" s="1" t="n">
        <x:v>140</x:v>
      </x:c>
      <x:c r="J61" s="1" t="n">
        <x:v>95</x:v>
      </x:c>
      <x:c r="K61" s="1" t="n">
        <x:v>67</x:v>
      </x:c>
      <x:c r="L61" s="1" t="n">
        <x:v>39</x:v>
      </x:c>
      <x:c r="M61" s="8" t="n">
        <x:f>IF(H61=0,"n.a.",F61/H61)</x:f>
        <x:v>711.6870731707318</x:v>
      </x:c>
      <x:c r="N61" s="8" t="n">
        <x:f>IF(J61=0,"n.a.",F61/J61)</x:f>
        <x:v>1535.7457894736842</x:v>
      </x:c>
      <x:c r="O61" s="8" t="n">
        <x:f>IF(L61=0,"n.a.",F61/L61)</x:f>
        <x:v>3740.919230769231</x:v>
      </x:c>
      <x:c r="P61" s="9" t="n">
        <x:f>IF(G61=0,"n.a.",L61/G61)</x:f>
        <x:v>0.13175675675675674</x:v>
      </x:c>
      <x:c r="Q61" s="1" t="n">
        <x:v>1</x:v>
      </x:c>
    </x:row>
    <x:row r="62">
      <x:c r="A62" s="1" t="str">
        <x:v>C058</x:v>
      </x:c>
      <x:c r="B62" s="1" t="str">
        <x:v>I010</x:v>
      </x:c>
      <x:c r="C62" s="1" t="str">
        <x:v>Meta Ads</x:v>
      </x:c>
      <x:c r="D62" s="1" t="str">
        <x:v>2025-06</x:v>
      </x:c>
      <x:c r="E62" s="8" t="n">
        <x:v>156067</x:v>
      </x:c>
      <x:c r="F62" s="8" t="n">
        <x:v>159251.83</x:v>
      </x:c>
      <x:c r="G62" s="1" t="n">
        <x:v>387</x:v>
      </x:c>
      <x:c r="H62" s="1" t="n">
        <x:v>186</x:v>
      </x:c>
      <x:c r="I62" s="1" t="n">
        <x:v>142</x:v>
      </x:c>
      <x:c r="J62" s="1" t="n">
        <x:v>104</x:v>
      </x:c>
      <x:c r="K62" s="1" t="n">
        <x:v>82</x:v>
      </x:c>
      <x:c r="L62" s="1" t="n">
        <x:v>42</x:v>
      </x:c>
      <x:c r="M62" s="8" t="n">
        <x:f>IF(H62=0,"n.a.",F62/H62)</x:f>
        <x:v>856.1926344086021</x:v>
      </x:c>
      <x:c r="N62" s="8" t="n">
        <x:f>IF(J62=0,"n.a.",F62/J62)</x:f>
        <x:v>1531.267596153846</x:v>
      </x:c>
      <x:c r="O62" s="8" t="n">
        <x:f>IF(L62=0,"n.a.",F62/L62)</x:f>
        <x:v>3791.710238095238</x:v>
      </x:c>
      <x:c r="P62" s="9" t="n">
        <x:f>IF(G62=0,"n.a.",L62/G62)</x:f>
        <x:v>0.10852713178294573</x:v>
      </x:c>
      <x:c r="Q62" s="1" t="n">
        <x:v>1</x:v>
      </x:c>
    </x:row>
    <x:row r="63">
      <x:c r="A63" s="1" t="str">
        <x:v>C059</x:v>
      </x:c>
      <x:c r="B63" s="1" t="str">
        <x:v>I011</x:v>
      </x:c>
      <x:c r="C63" s="1" t="str">
        <x:v>Organic Search</x:v>
      </x:c>
      <x:c r="D63" s="1" t="str">
        <x:v>2025-06</x:v>
      </x:c>
      <x:c r="E63" s="8" t="n">
        <x:v>122368</x:v>
      </x:c>
      <x:c r="F63" s="8" t="n">
        <x:v>136722.19</x:v>
      </x:c>
      <x:c r="G63" s="1" t="n">
        <x:v>499</x:v>
      </x:c>
      <x:c r="H63" s="1" t="n">
        <x:v>331</x:v>
      </x:c>
      <x:c r="I63" s="1" t="n">
        <x:v>231</x:v>
      </x:c>
      <x:c r="J63" s="1" t="n">
        <x:v>129</x:v>
      </x:c>
      <x:c r="K63" s="1" t="n">
        <x:v>85</x:v>
      </x:c>
      <x:c r="L63" s="1" t="n">
        <x:v>41</x:v>
      </x:c>
      <x:c r="M63" s="8" t="n">
        <x:f>IF(H63=0,"n.a.",F63/H63)</x:f>
        <x:v>413.05797583081574</x:v>
      </x:c>
      <x:c r="N63" s="8" t="n">
        <x:f>IF(J63=0,"n.a.",F63/J63)</x:f>
        <x:v>1059.861937984496</x:v>
      </x:c>
      <x:c r="O63" s="8" t="n">
        <x:f>IF(L63=0,"n.a.",F63/L63)</x:f>
        <x:v>3334.68756097561</x:v>
      </x:c>
      <x:c r="P63" s="9" t="n">
        <x:f>IF(G63=0,"n.a.",L63/G63)</x:f>
        <x:v>0.08216432865731463</x:v>
      </x:c>
      <x:c r="Q63" s="1" t="n">
        <x:v>1</x:v>
      </x:c>
    </x:row>
    <x:row r="64">
      <x:c r="A64" s="1" t="str">
        <x:v>C060</x:v>
      </x:c>
      <x:c r="B64" s="1" t="str">
        <x:v>I012</x:v>
      </x:c>
      <x:c r="C64" s="1" t="str">
        <x:v>Referral</x:v>
      </x:c>
      <x:c r="D64" s="1" t="str">
        <x:v>2025-06</x:v>
      </x:c>
      <x:c r="E64" s="8" t="n">
        <x:v>216803</x:v>
      </x:c>
      <x:c r="F64" s="8" t="n">
        <x:v>181145.2</x:v>
      </x:c>
      <x:c r="G64" s="1" t="n">
        <x:v>379</x:v>
      </x:c>
      <x:c r="H64" s="1" t="n">
        <x:v>239</x:v>
      </x:c>
      <x:c r="I64" s="1" t="n">
        <x:v>156</x:v>
      </x:c>
      <x:c r="J64" s="1" t="n">
        <x:v>105</x:v>
      </x:c>
      <x:c r="K64" s="1" t="n">
        <x:v>69</x:v>
      </x:c>
      <x:c r="L64" s="1" t="n">
        <x:v>43</x:v>
      </x:c>
      <x:c r="M64" s="8" t="n">
        <x:f>IF(H64=0,"n.a.",F64/H64)</x:f>
        <x:v>757.9297071129707</x:v>
      </x:c>
      <x:c r="N64" s="8" t="n">
        <x:f>IF(J64=0,"n.a.",F64/J64)</x:f>
        <x:v>1725.192380952381</x:v>
      </x:c>
      <x:c r="O64" s="8" t="n">
        <x:f>IF(L64=0,"n.a.",F64/L64)</x:f>
        <x:v>4212.679069767442</x:v>
      </x:c>
      <x:c r="P64" s="9" t="n">
        <x:f>IF(G64=0,"n.a.",L64/G64)</x:f>
        <x:v>0.11345646437994723</x:v>
      </x:c>
      <x:c r="Q64" s="1" t="n">
        <x:v>1</x:v>
      </x:c>
    </x:row>
    <x:row r="65">
      <x:c r="A65" s="1" t="str">
        <x:v>C061</x:v>
      </x:c>
      <x:c r="B65" s="1" t="str">
        <x:v>I013</x:v>
      </x:c>
      <x:c r="C65" s="1" t="str">
        <x:v>Email</x:v>
      </x:c>
      <x:c r="D65" s="1" t="str">
        <x:v>2025-07</x:v>
      </x:c>
      <x:c r="E65" s="8" t="n">
        <x:v>216745</x:v>
      </x:c>
      <x:c r="F65" s="8" t="n">
        <x:v>213146.1</x:v>
      </x:c>
      <x:c r="G65" s="1" t="n">
        <x:v>285</x:v>
      </x:c>
      <x:c r="H65" s="1" t="n">
        <x:v>165</x:v>
      </x:c>
      <x:c r="I65" s="1" t="n">
        <x:v>110</x:v>
      </x:c>
      <x:c r="J65" s="1" t="n">
        <x:v>75</x:v>
      </x:c>
      <x:c r="K65" s="1" t="n">
        <x:v>56</x:v>
      </x:c>
      <x:c r="L65" s="1" t="n">
        <x:v>35</x:v>
      </x:c>
      <x:c r="M65" s="8" t="n">
        <x:f>IF(H65=0,"n.a.",F65/H65)</x:f>
        <x:v>1291.7945454545454</x:v>
      </x:c>
      <x:c r="N65" s="8" t="n">
        <x:f>IF(J65=0,"n.a.",F65/J65)</x:f>
        <x:v>2841.948</x:v>
      </x:c>
      <x:c r="O65" s="8" t="n">
        <x:f>IF(L65=0,"n.a.",F65/L65)</x:f>
        <x:v>6089.888571428572</x:v>
      </x:c>
      <x:c r="P65" s="9" t="n">
        <x:f>IF(G65=0,"n.a.",L65/G65)</x:f>
        <x:v>0.12280701754385964</x:v>
      </x:c>
      <x:c r="Q65" s="1" t="n">
        <x:v>1</x:v>
      </x:c>
    </x:row>
    <x:row r="66">
      <x:c r="A66" s="1" t="str">
        <x:v>C062</x:v>
      </x:c>
      <x:c r="B66" s="1" t="str">
        <x:v>I014</x:v>
      </x:c>
      <x:c r="C66" s="1" t="str">
        <x:v>Education webinars</x:v>
      </x:c>
      <x:c r="D66" s="1" t="str">
        <x:v>2025-07</x:v>
      </x:c>
      <x:c r="E66" s="8" t="n">
        <x:v>200226</x:v>
      </x:c>
      <x:c r="F66" s="8" t="n">
        <x:v>176538.27</x:v>
      </x:c>
      <x:c r="G66" s="1" t="n">
        <x:v>373</x:v>
      </x:c>
      <x:c r="H66" s="1" t="n">
        <x:v>239</x:v>
      </x:c>
      <x:c r="I66" s="1" t="n">
        <x:v>158</x:v>
      </x:c>
      <x:c r="J66" s="1" t="n">
        <x:v>119</x:v>
      </x:c>
      <x:c r="K66" s="1" t="n">
        <x:v>89</x:v>
      </x:c>
      <x:c r="L66" s="1" t="n">
        <x:v>49</x:v>
      </x:c>
      <x:c r="M66" s="8" t="n">
        <x:f>IF(H66=0,"n.a.",F66/H66)</x:f>
        <x:v>738.6538493723849</x:v>
      </x:c>
      <x:c r="N66" s="8" t="n">
        <x:f>IF(J66=0,"n.a.",F66/J66)</x:f>
        <x:v>1483.5148739495799</x:v>
      </x:c>
      <x:c r="O66" s="8" t="n">
        <x:f>IF(L66=0,"n.a.",F66/L66)</x:f>
        <x:v>3602.8218367346935</x:v>
      </x:c>
      <x:c r="P66" s="9" t="n">
        <x:f>IF(G66=0,"n.a.",L66/G66)</x:f>
        <x:v>0.13136729222520108</x:v>
      </x:c>
      <x:c r="Q66" s="1" t="n">
        <x:v>1</x:v>
      </x:c>
    </x:row>
    <x:row r="67">
      <x:c r="A67" s="1" t="str">
        <x:v>C063</x:v>
      </x:c>
      <x:c r="B67" s="1" t="str">
        <x:v>I015</x:v>
      </x:c>
      <x:c r="C67" s="1" t="str">
        <x:v>Display Ads</x:v>
      </x:c>
      <x:c r="D67" s="1" t="str">
        <x:v>2025-07</x:v>
      </x:c>
      <x:c r="E67" s="8" t="n">
        <x:v>116021</x:v>
      </x:c>
      <x:c r="F67" s="8" t="n">
        <x:v>99780.63</x:v>
      </x:c>
      <x:c r="G67" s="1" t="n">
        <x:v>285</x:v>
      </x:c>
      <x:c r="H67" s="1" t="n">
        <x:v>119</x:v>
      </x:c>
      <x:c r="I67" s="1" t="n">
        <x:v>87</x:v>
      </x:c>
      <x:c r="J67" s="1" t="n">
        <x:v>57</x:v>
      </x:c>
      <x:c r="K67" s="1" t="n">
        <x:v>42</x:v>
      </x:c>
      <x:c r="L67" s="1" t="n">
        <x:v>26</x:v>
      </x:c>
      <x:c r="M67" s="8" t="n">
        <x:f>IF(H67=0,"n.a.",F67/H67)</x:f>
        <x:v>838.4926890756303</x:v>
      </x:c>
      <x:c r="N67" s="8" t="n">
        <x:f>IF(J67=0,"n.a.",F67/J67)</x:f>
        <x:v>1750.5373684210526</x:v>
      </x:c>
      <x:c r="O67" s="8" t="n">
        <x:f>IF(L67=0,"n.a.",F67/L67)</x:f>
        <x:v>3837.7165384615387</x:v>
      </x:c>
      <x:c r="P67" s="9" t="n">
        <x:f>IF(G67=0,"n.a.",L67/G67)</x:f>
        <x:v>0.0912280701754386</x:v>
      </x:c>
      <x:c r="Q67" s="1" t="n">
        <x:v>1</x:v>
      </x:c>
    </x:row>
    <x:row r="68">
      <x:c r="A68" s="1" t="str">
        <x:v>C064</x:v>
      </x:c>
      <x:c r="B68" s="1" t="str">
        <x:v>I016</x:v>
      </x:c>
      <x:c r="C68" s="1" t="str">
        <x:v>Google Search</x:v>
      </x:c>
      <x:c r="D68" s="1" t="str">
        <x:v>2025-07</x:v>
      </x:c>
      <x:c r="E68" s="8" t="n">
        <x:v>217971</x:v>
      </x:c>
      <x:c r="F68" s="8" t="n">
        <x:v>242624.59</x:v>
      </x:c>
      <x:c r="G68" s="1" t="n">
        <x:v>190</x:v>
      </x:c>
      <x:c r="H68" s="1" t="n">
        <x:v>132</x:v>
      </x:c>
      <x:c r="I68" s="1" t="n">
        <x:v>85</x:v>
      </x:c>
      <x:c r="J68" s="1" t="n">
        <x:v>53</x:v>
      </x:c>
      <x:c r="K68" s="1" t="n">
        <x:v>44</x:v>
      </x:c>
      <x:c r="L68" s="1" t="n">
        <x:v>24</x:v>
      </x:c>
      <x:c r="M68" s="8" t="n">
        <x:f>IF(H68=0,"n.a.",F68/H68)</x:f>
        <x:v>1838.0650757575756</x:v>
      </x:c>
      <x:c r="N68" s="8" t="n">
        <x:f>IF(J68=0,"n.a.",F68/J68)</x:f>
        <x:v>4577.822452830189</x:v>
      </x:c>
      <x:c r="O68" s="8" t="n">
        <x:f>IF(L68=0,"n.a.",F68/L68)</x:f>
        <x:v>10109.357916666666</x:v>
      </x:c>
      <x:c r="P68" s="9" t="n">
        <x:f>IF(G68=0,"n.a.",L68/G68)</x:f>
        <x:v>0.12631578947368421</x:v>
      </x:c>
      <x:c r="Q68" s="1" t="n">
        <x:v>1</x:v>
      </x:c>
    </x:row>
    <x:row r="69">
      <x:c r="A69" s="1" t="str">
        <x:v>C065</x:v>
      </x:c>
      <x:c r="B69" s="1" t="str">
        <x:v>I017</x:v>
      </x:c>
      <x:c r="C69" s="1" t="str">
        <x:v>Meta Ads</x:v>
      </x:c>
      <x:c r="D69" s="1" t="str">
        <x:v>2025-07</x:v>
      </x:c>
      <x:c r="E69" s="8" t="n">
        <x:v>92476</x:v>
      </x:c>
      <x:c r="F69" s="8" t="n">
        <x:v>99445.42</x:v>
      </x:c>
      <x:c r="G69" s="1" t="n">
        <x:v>366</x:v>
      </x:c>
      <x:c r="H69" s="1" t="n">
        <x:v>170</x:v>
      </x:c>
      <x:c r="I69" s="1" t="n">
        <x:v>125</x:v>
      </x:c>
      <x:c r="J69" s="1" t="n">
        <x:v>103</x:v>
      </x:c>
      <x:c r="K69" s="1" t="n">
        <x:v>79</x:v>
      </x:c>
      <x:c r="L69" s="1" t="n">
        <x:v>47</x:v>
      </x:c>
      <x:c r="M69" s="8" t="n">
        <x:f>IF(H69=0,"n.a.",F69/H69)</x:f>
        <x:v>584.9730588235294</x:v>
      </x:c>
      <x:c r="N69" s="8" t="n">
        <x:f>IF(J69=0,"n.a.",F69/J69)</x:f>
        <x:v>965.4895145631068</x:v>
      </x:c>
      <x:c r="O69" s="8" t="n">
        <x:f>IF(L69=0,"n.a.",F69/L69)</x:f>
        <x:v>2115.86</x:v>
      </x:c>
      <x:c r="P69" s="9" t="n">
        <x:f>IF(G69=0,"n.a.",L69/G69)</x:f>
        <x:v>0.1284153005464481</x:v>
      </x:c>
      <x:c r="Q69" s="1" t="n">
        <x:v>1</x:v>
      </x:c>
    </x:row>
    <x:row r="70">
      <x:c r="A70" s="1" t="str">
        <x:v>C066</x:v>
      </x:c>
      <x:c r="B70" s="1" t="str">
        <x:v>I018</x:v>
      </x:c>
      <x:c r="C70" s="1" t="str">
        <x:v>Organic Search</x:v>
      </x:c>
      <x:c r="D70" s="1" t="str">
        <x:v>2025-07</x:v>
      </x:c>
      <x:c r="E70" s="8" t="n">
        <x:v>108922</x:v>
      </x:c>
      <x:c r="F70" s="8" t="n">
        <x:v>85178.03</x:v>
      </x:c>
      <x:c r="G70" s="1" t="n">
        <x:v>326</x:v>
      </x:c>
      <x:c r="H70" s="1" t="n">
        <x:v>196</x:v>
      </x:c>
      <x:c r="I70" s="1" t="n">
        <x:v>132</x:v>
      </x:c>
      <x:c r="J70" s="1" t="n">
        <x:v>105</x:v>
      </x:c>
      <x:c r="K70" s="1" t="n">
        <x:v>79</x:v>
      </x:c>
      <x:c r="L70" s="1" t="n">
        <x:v>36</x:v>
      </x:c>
      <x:c r="M70" s="8" t="n">
        <x:f>IF(H70=0,"n.a.",F70/H70)</x:f>
        <x:v>434.58178571428573</x:v>
      </x:c>
      <x:c r="N70" s="8" t="n">
        <x:f>IF(J70=0,"n.a.",F70/J70)</x:f>
        <x:v>811.2193333333333</x:v>
      </x:c>
      <x:c r="O70" s="8" t="n">
        <x:f>IF(L70=0,"n.a.",F70/L70)</x:f>
        <x:v>2366.0563888888887</x:v>
      </x:c>
      <x:c r="P70" s="9" t="n">
        <x:f>IF(G70=0,"n.a.",L70/G70)</x:f>
        <x:v>0.11042944785276074</x:v>
      </x:c>
      <x:c r="Q70" s="1" t="n">
        <x:v>1</x:v>
      </x:c>
    </x:row>
    <x:row r="71">
      <x:c r="A71" s="1" t="str">
        <x:v>C067</x:v>
      </x:c>
      <x:c r="B71" s="1" t="str">
        <x:v>I019</x:v>
      </x:c>
      <x:c r="C71" s="1" t="str">
        <x:v>Referral</x:v>
      </x:c>
      <x:c r="D71" s="1" t="str">
        <x:v>2025-07</x:v>
      </x:c>
      <x:c r="E71" s="8" t="n">
        <x:v>247253</x:v>
      </x:c>
      <x:c r="F71" s="8" t="n">
        <x:v>187819.72</x:v>
      </x:c>
      <x:c r="G71" s="1" t="n">
        <x:v>513</x:v>
      </x:c>
      <x:c r="H71" s="1" t="n">
        <x:v>346</x:v>
      </x:c>
      <x:c r="I71" s="1" t="n">
        <x:v>249</x:v>
      </x:c>
      <x:c r="J71" s="1" t="n">
        <x:v>191</x:v>
      </x:c>
      <x:c r="K71" s="1" t="n">
        <x:v>135</x:v>
      </x:c>
      <x:c r="L71" s="1" t="n">
        <x:v>77</x:v>
      </x:c>
      <x:c r="M71" s="8" t="n">
        <x:f>IF(H71=0,"n.a.",F71/H71)</x:f>
        <x:v>542.8315606936417</x:v>
      </x:c>
      <x:c r="N71" s="8" t="n">
        <x:f>IF(J71=0,"n.a.",F71/J71)</x:f>
        <x:v>983.3493193717278</x:v>
      </x:c>
      <x:c r="O71" s="8" t="n">
        <x:f>IF(L71=0,"n.a.",F71/L71)</x:f>
        <x:v>2439.217142857143</x:v>
      </x:c>
      <x:c r="P71" s="9" t="n">
        <x:f>IF(G71=0,"n.a.",L71/G71)</x:f>
        <x:v>0.15009746588693956</x:v>
      </x:c>
      <x:c r="Q71" s="1" t="n">
        <x:v>1</x:v>
      </x:c>
    </x:row>
    <x:row r="72">
      <x:c r="A72" s="1" t="str">
        <x:v>C068</x:v>
      </x:c>
      <x:c r="B72" s="1" t="str">
        <x:v>I020</x:v>
      </x:c>
      <x:c r="C72" s="1" t="str">
        <x:v>Email</x:v>
      </x:c>
      <x:c r="D72" s="1" t="str">
        <x:v>2025-07</x:v>
      </x:c>
      <x:c r="E72" s="8" t="n">
        <x:v>205024</x:v>
      </x:c>
      <x:c r="F72" s="8" t="n">
        <x:v>228914.33</x:v>
      </x:c>
      <x:c r="G72" s="1" t="n">
        <x:v>422</x:v>
      </x:c>
      <x:c r="H72" s="1" t="n">
        <x:v>252</x:v>
      </x:c>
      <x:c r="I72" s="1" t="n">
        <x:v>182</x:v>
      </x:c>
      <x:c r="J72" s="1" t="n">
        <x:v>129</x:v>
      </x:c>
      <x:c r="K72" s="1" t="n">
        <x:v>98</x:v>
      </x:c>
      <x:c r="L72" s="1" t="n">
        <x:v>54</x:v>
      </x:c>
      <x:c r="M72" s="8" t="n">
        <x:f>IF(H72=0,"n.a.",F72/H72)</x:f>
        <x:v>908.3901984126984</x:v>
      </x:c>
      <x:c r="N72" s="8" t="n">
        <x:f>IF(J72=0,"n.a.",F72/J72)</x:f>
        <x:v>1774.5296899224804</x:v>
      </x:c>
      <x:c r="O72" s="8" t="n">
        <x:f>IF(L72=0,"n.a.",F72/L72)</x:f>
        <x:v>4239.154259259259</x:v>
      </x:c>
      <x:c r="P72" s="9" t="n">
        <x:f>IF(G72=0,"n.a.",L72/G72)</x:f>
        <x:v>0.12796208530805686</x:v>
      </x:c>
      <x:c r="Q72" s="1" t="n">
        <x:v>1</x:v>
      </x:c>
    </x:row>
    <x:row r="73">
      <x:c r="A73" s="1" t="str">
        <x:v>C069</x:v>
      </x:c>
      <x:c r="B73" s="1" t="str">
        <x:v>I021</x:v>
      </x:c>
      <x:c r="C73" s="1" t="str">
        <x:v>Education webinars</x:v>
      </x:c>
      <x:c r="D73" s="1" t="str">
        <x:v>2025-07</x:v>
      </x:c>
      <x:c r="E73" s="8" t="n">
        <x:v>141023</x:v>
      </x:c>
      <x:c r="F73" s="8" t="n">
        <x:v>141719.22</x:v>
      </x:c>
      <x:c r="G73" s="1" t="n">
        <x:v>391</x:v>
      </x:c>
      <x:c r="H73" s="1" t="n">
        <x:v>251</x:v>
      </x:c>
      <x:c r="I73" s="1" t="n">
        <x:v>177</x:v>
      </x:c>
      <x:c r="J73" s="1" t="n">
        <x:v>141</x:v>
      </x:c>
      <x:c r="K73" s="1" t="n">
        <x:v>120</x:v>
      </x:c>
      <x:c r="L73" s="1" t="n">
        <x:v>77</x:v>
      </x:c>
      <x:c r="M73" s="8" t="n">
        <x:f>IF(H73=0,"n.a.",F73/H73)</x:f>
        <x:v>564.618406374502</x:v>
      </x:c>
      <x:c r="N73" s="8" t="n">
        <x:f>IF(J73=0,"n.a.",F73/J73)</x:f>
        <x:v>1005.1008510638299</x:v>
      </x:c>
      <x:c r="O73" s="8" t="n">
        <x:f>IF(L73=0,"n.a.",F73/L73)</x:f>
        <x:v>1840.5093506493506</x:v>
      </x:c>
      <x:c r="P73" s="9" t="n">
        <x:f>IF(G73=0,"n.a.",L73/G73)</x:f>
        <x:v>0.1969309462915601</x:v>
      </x:c>
      <x:c r="Q73" s="1" t="n">
        <x:v>1</x:v>
      </x:c>
    </x:row>
    <x:row r="74">
      <x:c r="A74" s="1" t="str">
        <x:v>C070</x:v>
      </x:c>
      <x:c r="B74" s="1" t="str">
        <x:v>I022</x:v>
      </x:c>
      <x:c r="C74" s="1" t="str">
        <x:v>Display Ads</x:v>
      </x:c>
      <x:c r="D74" s="1" t="str">
        <x:v>2025-07</x:v>
      </x:c>
      <x:c r="E74" s="8" t="n">
        <x:v>205695</x:v>
      </x:c>
      <x:c r="F74" s="8" t="n">
        <x:v>193532.9</x:v>
      </x:c>
      <x:c r="G74" s="1" t="n">
        <x:v>333</x:v>
      </x:c>
      <x:c r="H74" s="1" t="n">
        <x:v>137</x:v>
      </x:c>
      <x:c r="I74" s="1" t="n">
        <x:v>96</x:v>
      </x:c>
      <x:c r="J74" s="1" t="n">
        <x:v>63</x:v>
      </x:c>
      <x:c r="K74" s="1" t="n">
        <x:v>47</x:v>
      </x:c>
      <x:c r="L74" s="1" t="n">
        <x:v>26</x:v>
      </x:c>
      <x:c r="M74" s="8" t="n">
        <x:f>IF(H74=0,"n.a.",F74/H74)</x:f>
        <x:v>1412.648905109489</x:v>
      </x:c>
      <x:c r="N74" s="8" t="n">
        <x:f>IF(J74=0,"n.a.",F74/J74)</x:f>
        <x:v>3071.9507936507935</x:v>
      </x:c>
      <x:c r="O74" s="8" t="n">
        <x:f>IF(L74=0,"n.a.",F74/L74)</x:f>
        <x:v>7443.573076923077</x:v>
      </x:c>
      <x:c r="P74" s="9" t="n">
        <x:f>IF(G74=0,"n.a.",L74/G74)</x:f>
        <x:v>0.07807807807807808</x:v>
      </x:c>
      <x:c r="Q74" s="1" t="n">
        <x:v>1</x:v>
      </x:c>
    </x:row>
    <x:row r="75">
      <x:c r="A75" s="1" t="str">
        <x:v>C071</x:v>
      </x:c>
      <x:c r="B75" s="1" t="str">
        <x:v>I023</x:v>
      </x:c>
      <x:c r="C75" s="1" t="str">
        <x:v>Google Search</x:v>
      </x:c>
      <x:c r="D75" s="1" t="str">
        <x:v>2025-08</x:v>
      </x:c>
      <x:c r="E75" s="8" t="n">
        <x:v>103411</x:v>
      </x:c>
      <x:c r="F75" s="8" t="n">
        <x:v>69930.02</x:v>
      </x:c>
      <x:c r="G75" s="1" t="n">
        <x:v>263</x:v>
      </x:c>
      <x:c r="H75" s="1" t="n">
        <x:v>186</x:v>
      </x:c>
      <x:c r="I75" s="1" t="n">
        <x:v>119</x:v>
      </x:c>
      <x:c r="J75" s="1" t="n">
        <x:v>88</x:v>
      </x:c>
      <x:c r="K75" s="1" t="n">
        <x:v>67</x:v>
      </x:c>
      <x:c r="L75" s="1" t="n">
        <x:v>36</x:v>
      </x:c>
      <x:c r="M75" s="8" t="n">
        <x:f>IF(H75=0,"n.a.",F75/H75)</x:f>
        <x:v>375.9678494623656</x:v>
      </x:c>
      <x:c r="N75" s="8" t="n">
        <x:f>IF(J75=0,"n.a.",F75/J75)</x:f>
        <x:v>794.6593181818182</x:v>
      </x:c>
      <x:c r="O75" s="8" t="n">
        <x:f>IF(L75=0,"n.a.",F75/L75)</x:f>
        <x:v>1942.5005555555556</x:v>
      </x:c>
      <x:c r="P75" s="9" t="n">
        <x:f>IF(G75=0,"n.a.",L75/G75)</x:f>
        <x:v>0.13688212927756654</x:v>
      </x:c>
      <x:c r="Q75" s="1" t="n">
        <x:v>1</x:v>
      </x:c>
    </x:row>
    <x:row r="76">
      <x:c r="A76" s="1" t="str">
        <x:v>C072</x:v>
      </x:c>
      <x:c r="B76" s="1" t="str">
        <x:v>I024</x:v>
      </x:c>
      <x:c r="C76" s="1" t="str">
        <x:v>Meta Ads</x:v>
      </x:c>
      <x:c r="D76" s="1" t="str">
        <x:v>2025-08</x:v>
      </x:c>
      <x:c r="E76" s="8" t="n">
        <x:v>133709</x:v>
      </x:c>
      <x:c r="F76" s="8" t="n">
        <x:v>142785.39</x:v>
      </x:c>
      <x:c r="G76" s="1" t="n">
        <x:v>496</x:v>
      </x:c>
      <x:c r="H76" s="1" t="n">
        <x:v>231</x:v>
      </x:c>
      <x:c r="I76" s="1" t="n">
        <x:v>159</x:v>
      </x:c>
      <x:c r="J76" s="1" t="n">
        <x:v>103</x:v>
      </x:c>
      <x:c r="K76" s="1" t="n">
        <x:v>79</x:v>
      </x:c>
      <x:c r="L76" s="1" t="n">
        <x:v>43</x:v>
      </x:c>
      <x:c r="M76" s="8" t="n">
        <x:f>IF(H76=0,"n.a.",F76/H76)</x:f>
        <x:v>618.1185714285715</x:v>
      </x:c>
      <x:c r="N76" s="8" t="n">
        <x:f>IF(J76=0,"n.a.",F76/J76)</x:f>
        <x:v>1386.2659223300973</x:v>
      </x:c>
      <x:c r="O76" s="8" t="n">
        <x:f>IF(L76=0,"n.a.",F76/L76)</x:f>
        <x:v>3320.5904651162796</x:v>
      </x:c>
      <x:c r="P76" s="9" t="n">
        <x:f>IF(G76=0,"n.a.",L76/G76)</x:f>
        <x:v>0.08669354838709678</x:v>
      </x:c>
      <x:c r="Q76" s="1" t="n">
        <x:v>1</x:v>
      </x:c>
    </x:row>
    <x:row r="77">
      <x:c r="A77" s="1" t="str">
        <x:v>C073</x:v>
      </x:c>
      <x:c r="B77" s="1" t="str">
        <x:v>I001</x:v>
      </x:c>
      <x:c r="C77" s="1" t="str">
        <x:v>Organic Search</x:v>
      </x:c>
      <x:c r="D77" s="1" t="str">
        <x:v>2025-08</x:v>
      </x:c>
      <x:c r="E77" s="8" t="n">
        <x:v>216051</x:v>
      </x:c>
      <x:c r="F77" s="8" t="n">
        <x:v>154095.26</x:v>
      </x:c>
      <x:c r="G77" s="1" t="n">
        <x:v>303</x:v>
      </x:c>
      <x:c r="H77" s="1" t="n">
        <x:v>207</x:v>
      </x:c>
      <x:c r="I77" s="1" t="n">
        <x:v>139</x:v>
      </x:c>
      <x:c r="J77" s="1" t="n">
        <x:v>77</x:v>
      </x:c>
      <x:c r="K77" s="1" t="n">
        <x:v>57</x:v>
      </x:c>
      <x:c r="L77" s="1" t="n">
        <x:v>25</x:v>
      </x:c>
      <x:c r="M77" s="8" t="n">
        <x:f>IF(H77=0,"n.a.",F77/H77)</x:f>
        <x:v>744.4215458937199</x:v>
      </x:c>
      <x:c r="N77" s="8" t="n">
        <x:f>IF(J77=0,"n.a.",F77/J77)</x:f>
        <x:v>2001.237142857143</x:v>
      </x:c>
      <x:c r="O77" s="8" t="n">
        <x:f>IF(L77=0,"n.a.",F77/L77)</x:f>
        <x:v>6163.8104</x:v>
      </x:c>
      <x:c r="P77" s="9" t="n">
        <x:f>IF(G77=0,"n.a.",L77/G77)</x:f>
        <x:v>0.08250825082508251</x:v>
      </x:c>
      <x:c r="Q77" s="1" t="n">
        <x:v>1</x:v>
      </x:c>
    </x:row>
    <x:row r="78">
      <x:c r="A78" s="1" t="str">
        <x:v>C074</x:v>
      </x:c>
      <x:c r="B78" s="1" t="str">
        <x:v>I002</x:v>
      </x:c>
      <x:c r="C78" s="1" t="str">
        <x:v>Referral</x:v>
      </x:c>
      <x:c r="D78" s="1" t="str">
        <x:v>2025-08</x:v>
      </x:c>
      <x:c r="E78" s="8" t="n">
        <x:v>239150</x:v>
      </x:c>
      <x:c r="F78" s="8" t="n">
        <x:v>162702.66</x:v>
      </x:c>
      <x:c r="G78" s="1" t="n">
        <x:v>385</x:v>
      </x:c>
      <x:c r="H78" s="1" t="n">
        <x:v>294</x:v>
      </x:c>
      <x:c r="I78" s="1" t="n">
        <x:v>202</x:v>
      </x:c>
      <x:c r="J78" s="1" t="n">
        <x:v>121</x:v>
      </x:c>
      <x:c r="K78" s="1" t="n">
        <x:v>95</x:v>
      </x:c>
      <x:c r="L78" s="1" t="n">
        <x:v>60</x:v>
      </x:c>
      <x:c r="M78" s="8" t="n">
        <x:f>IF(H78=0,"n.a.",F78/H78)</x:f>
        <x:v>553.4104081632653</x:v>
      </x:c>
      <x:c r="N78" s="8" t="n">
        <x:f>IF(J78=0,"n.a.",F78/J78)</x:f>
        <x:v>1344.6500826446281</x:v>
      </x:c>
      <x:c r="O78" s="8" t="n">
        <x:f>IF(L78=0,"n.a.",F78/L78)</x:f>
        <x:v>2711.7110000000002</x:v>
      </x:c>
      <x:c r="P78" s="9" t="n">
        <x:f>IF(G78=0,"n.a.",L78/G78)</x:f>
        <x:v>0.15584415584415584</x:v>
      </x:c>
      <x:c r="Q78" s="1" t="n">
        <x:v>1</x:v>
      </x:c>
    </x:row>
    <x:row r="79">
      <x:c r="A79" s="1" t="str">
        <x:v>C075</x:v>
      </x:c>
      <x:c r="B79" s="1" t="str">
        <x:v>I003</x:v>
      </x:c>
      <x:c r="C79" s="1" t="str">
        <x:v>Email</x:v>
      </x:c>
      <x:c r="D79" s="1" t="str">
        <x:v>2025-08</x:v>
      </x:c>
      <x:c r="E79" s="8" t="n">
        <x:v>228526</x:v>
      </x:c>
      <x:c r="F79" s="8" t="n">
        <x:v>207101.57</x:v>
      </x:c>
      <x:c r="G79" s="1" t="n">
        <x:v>444</x:v>
      </x:c>
      <x:c r="H79" s="1" t="n">
        <x:v>290</x:v>
      </x:c>
      <x:c r="I79" s="1" t="n">
        <x:v>210</x:v>
      </x:c>
      <x:c r="J79" s="1" t="n">
        <x:v>123</x:v>
      </x:c>
      <x:c r="K79" s="1" t="n">
        <x:v>96</x:v>
      </x:c>
      <x:c r="L79" s="1" t="n">
        <x:v>58</x:v>
      </x:c>
      <x:c r="M79" s="8" t="n">
        <x:f>IF(H79=0,"n.a.",F79/H79)</x:f>
        <x:v>714.1433448275862</x:v>
      </x:c>
      <x:c r="N79" s="8" t="n">
        <x:f>IF(J79=0,"n.a.",F79/J79)</x:f>
        <x:v>1683.7526016260163</x:v>
      </x:c>
      <x:c r="O79" s="8" t="n">
        <x:f>IF(L79=0,"n.a.",F79/L79)</x:f>
        <x:v>3570.716724137931</x:v>
      </x:c>
      <x:c r="P79" s="9" t="n">
        <x:f>IF(G79=0,"n.a.",L79/G79)</x:f>
        <x:v>0.13063063063063063</x:v>
      </x:c>
      <x:c r="Q79" s="1" t="n">
        <x:v>1</x:v>
      </x:c>
    </x:row>
    <x:row r="80">
      <x:c r="A80" s="1" t="str">
        <x:v>C076</x:v>
      </x:c>
      <x:c r="B80" s="1" t="str">
        <x:v>I004</x:v>
      </x:c>
      <x:c r="C80" s="1" t="str">
        <x:v>Education webinars</x:v>
      </x:c>
      <x:c r="D80" s="1" t="str">
        <x:v>2025-08</x:v>
      </x:c>
      <x:c r="E80" s="8" t="n">
        <x:v>130656</x:v>
      </x:c>
      <x:c r="F80" s="8" t="n">
        <x:v>146214.76</x:v>
      </x:c>
      <x:c r="G80" s="1" t="n">
        <x:v>342</x:v>
      </x:c>
      <x:c r="H80" s="1" t="n">
        <x:v>226</x:v>
      </x:c>
      <x:c r="I80" s="1" t="n">
        <x:v>150</x:v>
      </x:c>
      <x:c r="J80" s="1" t="n">
        <x:v>103</x:v>
      </x:c>
      <x:c r="K80" s="1" t="n">
        <x:v>82</x:v>
      </x:c>
      <x:c r="L80" s="1" t="n">
        <x:v>42</x:v>
      </x:c>
      <x:c r="M80" s="8" t="n">
        <x:f>IF(H80=0,"n.a.",F80/H80)</x:f>
        <x:v>646.96796460177</x:v>
      </x:c>
      <x:c r="N80" s="8" t="n">
        <x:f>IF(J80=0,"n.a.",F80/J80)</x:f>
        <x:v>1419.5607766990292</x:v>
      </x:c>
      <x:c r="O80" s="8" t="n">
        <x:f>IF(L80=0,"n.a.",F80/L80)</x:f>
        <x:v>3481.30380952381</x:v>
      </x:c>
      <x:c r="P80" s="9" t="n">
        <x:f>IF(G80=0,"n.a.",L80/G80)</x:f>
        <x:v>0.12280701754385964</x:v>
      </x:c>
      <x:c r="Q80" s="1" t="n">
        <x:v>1</x:v>
      </x:c>
    </x:row>
    <x:row r="81">
      <x:c r="A81" s="1" t="str">
        <x:v>C077</x:v>
      </x:c>
      <x:c r="B81" s="1" t="str">
        <x:v>I005</x:v>
      </x:c>
      <x:c r="C81" s="1" t="str">
        <x:v>Display Ads</x:v>
      </x:c>
      <x:c r="D81" s="1" t="str">
        <x:v>2025-08</x:v>
      </x:c>
      <x:c r="E81" s="8" t="n">
        <x:v>241246</x:v>
      </x:c>
      <x:c r="F81" s="8" t="n">
        <x:v>250458.64</x:v>
      </x:c>
      <x:c r="G81" s="1" t="n">
        <x:v>622</x:v>
      </x:c>
      <x:c r="H81" s="1" t="n">
        <x:v>257</x:v>
      </x:c>
      <x:c r="I81" s="1" t="n">
        <x:v>185</x:v>
      </x:c>
      <x:c r="J81" s="1" t="n">
        <x:v>116</x:v>
      </x:c>
      <x:c r="K81" s="1" t="n">
        <x:v>89</x:v>
      </x:c>
      <x:c r="L81" s="1" t="n">
        <x:v>56</x:v>
      </x:c>
      <x:c r="M81" s="8" t="n">
        <x:f>IF(H81=0,"n.a.",F81/H81)</x:f>
        <x:v>974.5472373540856</x:v>
      </x:c>
      <x:c r="N81" s="8" t="n">
        <x:f>IF(J81=0,"n.a.",F81/J81)</x:f>
        <x:v>2159.126206896552</x:v>
      </x:c>
      <x:c r="O81" s="8" t="n">
        <x:f>IF(L81=0,"n.a.",F81/L81)</x:f>
        <x:v>4472.475714285714</x:v>
      </x:c>
      <x:c r="P81" s="9" t="n">
        <x:f>IF(G81=0,"n.a.",L81/G81)</x:f>
        <x:v>0.09003215434083602</x:v>
      </x:c>
      <x:c r="Q81" s="1" t="n">
        <x:v>1</x:v>
      </x:c>
    </x:row>
    <x:row r="82">
      <x:c r="A82" s="1" t="str">
        <x:v>C078</x:v>
      </x:c>
      <x:c r="B82" s="1" t="str">
        <x:v>I006</x:v>
      </x:c>
      <x:c r="C82" s="1" t="str">
        <x:v>Google Search</x:v>
      </x:c>
      <x:c r="D82" s="1" t="str">
        <x:v>2025-08</x:v>
      </x:c>
      <x:c r="E82" s="8" t="n">
        <x:v>161639</x:v>
      </x:c>
      <x:c r="F82" s="8" t="n">
        <x:v>172527.47</x:v>
      </x:c>
      <x:c r="G82" s="1" t="n">
        <x:v>557</x:v>
      </x:c>
      <x:c r="H82" s="1" t="n">
        <x:v>373</x:v>
      </x:c>
      <x:c r="I82" s="1" t="n">
        <x:v>262</x:v>
      </x:c>
      <x:c r="J82" s="1" t="n">
        <x:v>202</x:v>
      </x:c>
      <x:c r="K82" s="1" t="n">
        <x:v>150</x:v>
      </x:c>
      <x:c r="L82" s="1" t="n">
        <x:v>78</x:v>
      </x:c>
      <x:c r="M82" s="8" t="n">
        <x:f>IF(H82=0,"n.a.",F82/H82)</x:f>
        <x:v>462.54013404825736</x:v>
      </x:c>
      <x:c r="N82" s="8" t="n">
        <x:f>IF(J82=0,"n.a.",F82/J82)</x:f>
        <x:v>854.0963861386139</x:v>
      </x:c>
      <x:c r="O82" s="8" t="n">
        <x:f>IF(L82=0,"n.a.",F82/L82)</x:f>
        <x:v>2211.890641025641</x:v>
      </x:c>
      <x:c r="P82" s="9" t="n">
        <x:f>IF(G82=0,"n.a.",L82/G82)</x:f>
        <x:v>0.1400359066427289</x:v>
      </x:c>
      <x:c r="Q82" s="1" t="n">
        <x:v>1</x:v>
      </x:c>
    </x:row>
    <x:row r="83">
      <x:c r="A83" s="1" t="str">
        <x:v>C079</x:v>
      </x:c>
      <x:c r="B83" s="1" t="str">
        <x:v>I007</x:v>
      </x:c>
      <x:c r="C83" s="1" t="str">
        <x:v>Meta Ads</x:v>
      </x:c>
      <x:c r="D83" s="1" t="str">
        <x:v>2025-08</x:v>
      </x:c>
      <x:c r="E83" s="8" t="n">
        <x:v>227246</x:v>
      </x:c>
      <x:c r="F83" s="8" t="n">
        <x:v>193598.71</x:v>
      </x:c>
      <x:c r="G83" s="1" t="n">
        <x:v>425</x:v>
      </x:c>
      <x:c r="H83" s="1" t="n">
        <x:v>200</x:v>
      </x:c>
      <x:c r="I83" s="1" t="n">
        <x:v>140</x:v>
      </x:c>
      <x:c r="J83" s="1" t="n">
        <x:v>119</x:v>
      </x:c>
      <x:c r="K83" s="1" t="n">
        <x:v>97</x:v>
      </x:c>
      <x:c r="L83" s="1" t="n">
        <x:v>49</x:v>
      </x:c>
      <x:c r="M83" s="8" t="n">
        <x:f>IF(H83=0,"n.a.",F83/H83)</x:f>
        <x:v>967.9935499999999</x:v>
      </x:c>
      <x:c r="N83" s="8" t="n">
        <x:f>IF(J83=0,"n.a.",F83/J83)</x:f>
        <x:v>1626.8799159663865</x:v>
      </x:c>
      <x:c r="O83" s="8" t="n">
        <x:f>IF(L83=0,"n.a.",F83/L83)</x:f>
        <x:v>3950.994081632653</x:v>
      </x:c>
      <x:c r="P83" s="9" t="n">
        <x:f>IF(G83=0,"n.a.",L83/G83)</x:f>
        <x:v>0.11529411764705882</x:v>
      </x:c>
      <x:c r="Q83" s="1" t="n">
        <x:v>1</x:v>
      </x:c>
    </x:row>
    <x:row r="84">
      <x:c r="A84" s="1" t="str">
        <x:v>C080</x:v>
      </x:c>
      <x:c r="B84" s="1" t="str">
        <x:v>I008</x:v>
      </x:c>
      <x:c r="C84" s="1" t="str">
        <x:v>Organic Search</x:v>
      </x:c>
      <x:c r="D84" s="1" t="str">
        <x:v>2025-08</x:v>
      </x:c>
      <x:c r="E84" s="8" t="n">
        <x:v>222058</x:v>
      </x:c>
      <x:c r="F84" s="8" t="n">
        <x:v>157219.15</x:v>
      </x:c>
      <x:c r="G84" s="1" t="n">
        <x:v>627</x:v>
      </x:c>
      <x:c r="H84" s="1" t="n">
        <x:v>399</x:v>
      </x:c>
      <x:c r="I84" s="1" t="n">
        <x:v>290</x:v>
      </x:c>
      <x:c r="J84" s="1" t="n">
        <x:v>223</x:v>
      </x:c>
      <x:c r="K84" s="1" t="n">
        <x:v>165</x:v>
      </x:c>
      <x:c r="L84" s="1" t="n">
        <x:v>93</x:v>
      </x:c>
      <x:c r="M84" s="8" t="n">
        <x:f>IF(H84=0,"n.a.",F84/H84)</x:f>
        <x:v>394.0329573934837</x:v>
      </x:c>
      <x:c r="N84" s="8" t="n">
        <x:f>IF(J84=0,"n.a.",F84/J84)</x:f>
        <x:v>705.0186098654708</x:v>
      </x:c>
      <x:c r="O84" s="8" t="n">
        <x:f>IF(L84=0,"n.a.",F84/L84)</x:f>
        <x:v>1690.528494623656</x:v>
      </x:c>
      <x:c r="P84" s="9" t="n">
        <x:f>IF(G84=0,"n.a.",L84/G84)</x:f>
        <x:v>0.14832535885167464</x:v>
      </x:c>
      <x:c r="Q84" s="1" t="n">
        <x:v>1</x:v>
      </x:c>
    </x:row>
    <x:row r="85">
      <x:c r="A85" s="1" t="str">
        <x:v>C081</x:v>
      </x:c>
      <x:c r="B85" s="1" t="str">
        <x:v>I009</x:v>
      </x:c>
      <x:c r="C85" s="1" t="str">
        <x:v>Referral</x:v>
      </x:c>
      <x:c r="D85" s="1" t="str">
        <x:v>2025-09</x:v>
      </x:c>
      <x:c r="E85" s="8" t="n">
        <x:v>205314</x:v>
      </x:c>
      <x:c r="F85" s="8" t="n">
        <x:v>170546.43</x:v>
      </x:c>
      <x:c r="G85" s="1" t="n">
        <x:v>544</x:v>
      </x:c>
      <x:c r="H85" s="1" t="n">
        <x:v>389</x:v>
      </x:c>
      <x:c r="I85" s="1" t="n">
        <x:v>268</x:v>
      </x:c>
      <x:c r="J85" s="1" t="n">
        <x:v>178</x:v>
      </x:c>
      <x:c r="K85" s="1" t="n">
        <x:v>144</x:v>
      </x:c>
      <x:c r="L85" s="1" t="n">
        <x:v>71</x:v>
      </x:c>
      <x:c r="M85" s="8" t="n">
        <x:f>IF(H85=0,"n.a.",F85/H85)</x:f>
        <x:v>438.42269922879177</x:v>
      </x:c>
      <x:c r="N85" s="8" t="n">
        <x:f>IF(J85=0,"n.a.",F85/J85)</x:f>
        <x:v>958.126011235955</x:v>
      </x:c>
      <x:c r="O85" s="8" t="n">
        <x:f>IF(L85=0,"n.a.",F85/L85)</x:f>
        <x:v>2402.062394366197</x:v>
      </x:c>
      <x:c r="P85" s="9" t="n">
        <x:f>IF(G85=0,"n.a.",L85/G85)</x:f>
        <x:v>0.13051470588235295</x:v>
      </x:c>
      <x:c r="Q85" s="1" t="n">
        <x:v>1</x:v>
      </x:c>
    </x:row>
    <x:row r="86">
      <x:c r="A86" s="1" t="str">
        <x:v>C082</x:v>
      </x:c>
      <x:c r="B86" s="1" t="str">
        <x:v>I010</x:v>
      </x:c>
      <x:c r="C86" s="1" t="str">
        <x:v>Email</x:v>
      </x:c>
      <x:c r="D86" s="1" t="str">
        <x:v>2025-09</x:v>
      </x:c>
      <x:c r="E86" s="8" t="n">
        <x:v>245343</x:v>
      </x:c>
      <x:c r="F86" s="8" t="n">
        <x:v>207865.44</x:v>
      </x:c>
      <x:c r="G86" s="1" t="n">
        <x:v>552</x:v>
      </x:c>
      <x:c r="H86" s="1" t="n">
        <x:v>302</x:v>
      </x:c>
      <x:c r="I86" s="1" t="n">
        <x:v>202</x:v>
      </x:c>
      <x:c r="J86" s="1" t="n">
        <x:v>145</x:v>
      </x:c>
      <x:c r="K86" s="1" t="n">
        <x:v>109</x:v>
      </x:c>
      <x:c r="L86" s="1" t="n">
        <x:v>61</x:v>
      </x:c>
      <x:c r="M86" s="8" t="n">
        <x:f>IF(H86=0,"n.a.",F86/H86)</x:f>
        <x:v>688.2961589403974</x:v>
      </x:c>
      <x:c r="N86" s="8" t="n">
        <x:f>IF(J86=0,"n.a.",F86/J86)</x:f>
        <x:v>1433.5547586206897</x:v>
      </x:c>
      <x:c r="O86" s="8" t="n">
        <x:f>IF(L86=0,"n.a.",F86/L86)</x:f>
        <x:v>3407.6301639344265</x:v>
      </x:c>
      <x:c r="P86" s="9" t="n">
        <x:f>IF(G86=0,"n.a.",L86/G86)</x:f>
        <x:v>0.1105072463768116</x:v>
      </x:c>
      <x:c r="Q86" s="1" t="n">
        <x:v>1</x:v>
      </x:c>
    </x:row>
    <x:row r="87">
      <x:c r="A87" s="1" t="str">
        <x:v>C083</x:v>
      </x:c>
      <x:c r="B87" s="1" t="str">
        <x:v>I011</x:v>
      </x:c>
      <x:c r="C87" s="1" t="str">
        <x:v>Education webinars</x:v>
      </x:c>
      <x:c r="D87" s="1" t="str">
        <x:v>2025-09</x:v>
      </x:c>
      <x:c r="E87" s="8" t="n">
        <x:v>225456</x:v>
      </x:c>
      <x:c r="F87" s="8" t="n">
        <x:v>229336.39</x:v>
      </x:c>
      <x:c r="G87" s="1" t="n">
        <x:v>241</x:v>
      </x:c>
      <x:c r="H87" s="1" t="n">
        <x:v>147</x:v>
      </x:c>
      <x:c r="I87" s="1" t="n">
        <x:v>91</x:v>
      </x:c>
      <x:c r="J87" s="1" t="n">
        <x:v>58</x:v>
      </x:c>
      <x:c r="K87" s="1" t="n">
        <x:v>43</x:v>
      </x:c>
      <x:c r="L87" s="1" t="n">
        <x:v>21</x:v>
      </x:c>
      <x:c r="M87" s="8" t="n">
        <x:f>IF(H87=0,"n.a.",F87/H87)</x:f>
        <x:v>1560.1114965986396</x:v>
      </x:c>
      <x:c r="N87" s="8" t="n">
        <x:f>IF(J87=0,"n.a.",F87/J87)</x:f>
        <x:v>3954.0756896551725</x:v>
      </x:c>
      <x:c r="O87" s="8" t="n">
        <x:f>IF(L87=0,"n.a.",F87/L87)</x:f>
        <x:v>10920.780476190477</x:v>
      </x:c>
      <x:c r="P87" s="9" t="n">
        <x:f>IF(G87=0,"n.a.",L87/G87)</x:f>
        <x:v>0.08713692946058091</x:v>
      </x:c>
      <x:c r="Q87" s="1" t="n">
        <x:v>1</x:v>
      </x:c>
    </x:row>
    <x:row r="88">
      <x:c r="A88" s="1" t="str">
        <x:v>C084</x:v>
      </x:c>
      <x:c r="B88" s="1" t="str">
        <x:v>I012</x:v>
      </x:c>
      <x:c r="C88" s="1" t="str">
        <x:v>Display Ads</x:v>
      </x:c>
      <x:c r="D88" s="1" t="str">
        <x:v>2025-09</x:v>
      </x:c>
      <x:c r="E88" s="8" t="n">
        <x:v>203173</x:v>
      </x:c>
      <x:c r="F88" s="8" t="n">
        <x:v>135655.88</x:v>
      </x:c>
      <x:c r="G88" s="1" t="n">
        <x:v>489</x:v>
      </x:c>
      <x:c r="H88" s="1" t="n">
        <x:v>206</x:v>
      </x:c>
      <x:c r="I88" s="1" t="n">
        <x:v>135</x:v>
      </x:c>
      <x:c r="J88" s="1" t="n">
        <x:v>83</x:v>
      </x:c>
      <x:c r="K88" s="1" t="n">
        <x:v>58</x:v>
      </x:c>
      <x:c r="L88" s="1" t="n">
        <x:v>34</x:v>
      </x:c>
      <x:c r="M88" s="8" t="n">
        <x:f>IF(H88=0,"n.a.",F88/H88)</x:f>
        <x:v>658.5236893203884</x:v>
      </x:c>
      <x:c r="N88" s="8" t="n">
        <x:f>IF(J88=0,"n.a.",F88/J88)</x:f>
        <x:v>1634.4081927710845</x:v>
      </x:c>
      <x:c r="O88" s="8" t="n">
        <x:f>IF(L88=0,"n.a.",F88/L88)</x:f>
        <x:v>3989.878823529412</x:v>
      </x:c>
      <x:c r="P88" s="9" t="n">
        <x:f>IF(G88=0,"n.a.",L88/G88)</x:f>
        <x:v>0.06952965235173825</x:v>
      </x:c>
      <x:c r="Q88" s="1" t="n">
        <x:v>1</x:v>
      </x:c>
    </x:row>
    <x:row r="89">
      <x:c r="A89" s="1" t="str">
        <x:v>C085</x:v>
      </x:c>
      <x:c r="B89" s="1" t="str">
        <x:v>I013</x:v>
      </x:c>
      <x:c r="C89" s="1" t="str">
        <x:v>Google Search</x:v>
      </x:c>
      <x:c r="D89" s="1" t="str">
        <x:v>2025-09</x:v>
      </x:c>
      <x:c r="E89" s="8" t="n">
        <x:v>150661</x:v>
      </x:c>
      <x:c r="F89" s="8" t="n">
        <x:v>122270.89</x:v>
      </x:c>
      <x:c r="G89" s="1" t="n">
        <x:v>462</x:v>
      </x:c>
      <x:c r="H89" s="1" t="n">
        <x:v>283</x:v>
      </x:c>
      <x:c r="I89" s="1" t="n">
        <x:v>188</x:v>
      </x:c>
      <x:c r="J89" s="1" t="n">
        <x:v>130</x:v>
      </x:c>
      <x:c r="K89" s="1" t="n">
        <x:v>91</x:v>
      </x:c>
      <x:c r="L89" s="1" t="n">
        <x:v>48</x:v>
      </x:c>
      <x:c r="M89" s="8" t="n">
        <x:f>IF(H89=0,"n.a.",F89/H89)</x:f>
        <x:v>432.0526148409894</x:v>
      </x:c>
      <x:c r="N89" s="8" t="n">
        <x:f>IF(J89=0,"n.a.",F89/J89)</x:f>
        <x:v>940.5453076923077</x:v>
      </x:c>
      <x:c r="O89" s="8" t="n">
        <x:f>IF(L89=0,"n.a.",F89/L89)</x:f>
        <x:v>2547.3102083333333</x:v>
      </x:c>
      <x:c r="P89" s="9" t="n">
        <x:f>IF(G89=0,"n.a.",L89/G89)</x:f>
        <x:v>0.1038961038961039</x:v>
      </x:c>
      <x:c r="Q89" s="1" t="n">
        <x:v>1</x:v>
      </x:c>
    </x:row>
    <x:row r="90">
      <x:c r="A90" s="1" t="str">
        <x:v>C086</x:v>
      </x:c>
      <x:c r="B90" s="1" t="str">
        <x:v>I014</x:v>
      </x:c>
      <x:c r="C90" s="1" t="str">
        <x:v>Meta Ads</x:v>
      </x:c>
      <x:c r="D90" s="1" t="str">
        <x:v>2025-09</x:v>
      </x:c>
      <x:c r="E90" s="8" t="n">
        <x:v>106445</x:v>
      </x:c>
      <x:c r="F90" s="8" t="n">
        <x:v>113393.72</x:v>
      </x:c>
      <x:c r="G90" s="1" t="n">
        <x:v>329</x:v>
      </x:c>
      <x:c r="H90" s="1" t="n">
        <x:v>146</x:v>
      </x:c>
      <x:c r="I90" s="1" t="n">
        <x:v>98</x:v>
      </x:c>
      <x:c r="J90" s="1" t="n">
        <x:v>70</x:v>
      </x:c>
      <x:c r="K90" s="1" t="n">
        <x:v>50</x:v>
      </x:c>
      <x:c r="L90" s="1" t="n">
        <x:v>29</x:v>
      </x:c>
      <x:c r="M90" s="8" t="n">
        <x:f>IF(H90=0,"n.a.",F90/H90)</x:f>
        <x:v>776.6693150684931</x:v>
      </x:c>
      <x:c r="N90" s="8" t="n">
        <x:f>IF(J90=0,"n.a.",F90/J90)</x:f>
        <x:v>1619.9102857142857</x:v>
      </x:c>
      <x:c r="O90" s="8" t="n">
        <x:f>IF(L90=0,"n.a.",F90/L90)</x:f>
        <x:v>3910.128275862069</x:v>
      </x:c>
      <x:c r="P90" s="9" t="n">
        <x:f>IF(G90=0,"n.a.",L90/G90)</x:f>
        <x:v>0.08814589665653495</x:v>
      </x:c>
      <x:c r="Q90" s="1" t="n">
        <x:v>1</x:v>
      </x:c>
    </x:row>
    <x:row r="91">
      <x:c r="A91" s="1" t="str">
        <x:v>C087</x:v>
      </x:c>
      <x:c r="B91" s="1" t="str">
        <x:v>I015</x:v>
      </x:c>
      <x:c r="C91" s="1" t="str">
        <x:v>Organic Search</x:v>
      </x:c>
      <x:c r="D91" s="1" t="str">
        <x:v>2025-09</x:v>
      </x:c>
      <x:c r="E91" s="8" t="n">
        <x:v>159572</x:v>
      </x:c>
      <x:c r="F91" s="8" t="n">
        <x:v>126586.08</x:v>
      </x:c>
      <x:c r="G91" s="1" t="n">
        <x:v>285</x:v>
      </x:c>
      <x:c r="H91" s="1" t="n">
        <x:v>180</x:v>
      </x:c>
      <x:c r="I91" s="1" t="n">
        <x:v>121</x:v>
      </x:c>
      <x:c r="J91" s="1" t="n">
        <x:v>96</x:v>
      </x:c>
      <x:c r="K91" s="1" t="n">
        <x:v>77</x:v>
      </x:c>
      <x:c r="L91" s="1" t="n">
        <x:v>39</x:v>
      </x:c>
      <x:c r="M91" s="8" t="n">
        <x:f>IF(H91=0,"n.a.",F91/H91)</x:f>
        <x:v>703.256</x:v>
      </x:c>
      <x:c r="N91" s="8" t="n">
        <x:f>IF(J91=0,"n.a.",F91/J91)</x:f>
        <x:v>1318.605</x:v>
      </x:c>
      <x:c r="O91" s="8" t="n">
        <x:f>IF(L91=0,"n.a.",F91/L91)</x:f>
        <x:v>3245.796923076923</x:v>
      </x:c>
      <x:c r="P91" s="9" t="n">
        <x:f>IF(G91=0,"n.a.",L91/G91)</x:f>
        <x:v>0.1368421052631579</x:v>
      </x:c>
      <x:c r="Q91" s="1" t="n">
        <x:v>1</x:v>
      </x:c>
    </x:row>
    <x:row r="92">
      <x:c r="A92" s="1" t="str">
        <x:v>C088</x:v>
      </x:c>
      <x:c r="B92" s="1" t="str">
        <x:v>I016</x:v>
      </x:c>
      <x:c r="C92" s="1" t="str">
        <x:v>Referral</x:v>
      </x:c>
      <x:c r="D92" s="1" t="str">
        <x:v>2025-09</x:v>
      </x:c>
      <x:c r="E92" s="8" t="n">
        <x:v>215164</x:v>
      </x:c>
      <x:c r="F92" s="8" t="n">
        <x:v>232345.07</x:v>
      </x:c>
      <x:c r="G92" s="1" t="n">
        <x:v>408</x:v>
      </x:c>
      <x:c r="H92" s="1" t="n">
        <x:v>294</x:v>
      </x:c>
      <x:c r="I92" s="1" t="n">
        <x:v>199</x:v>
      </x:c>
      <x:c r="J92" s="1" t="n">
        <x:v>142</x:v>
      </x:c>
      <x:c r="K92" s="1" t="n">
        <x:v>110</x:v>
      </x:c>
      <x:c r="L92" s="1" t="n">
        <x:v>63</x:v>
      </x:c>
      <x:c r="M92" s="8" t="n">
        <x:f>IF(H92=0,"n.a.",F92/H92)</x:f>
        <x:v>790.2893537414966</x:v>
      </x:c>
      <x:c r="N92" s="8" t="n">
        <x:f>IF(J92=0,"n.a.",F92/J92)</x:f>
        <x:v>1636.2328873239437</x:v>
      </x:c>
      <x:c r="O92" s="8" t="n">
        <x:f>IF(L92=0,"n.a.",F92/L92)</x:f>
        <x:v>3688.0169841269844</x:v>
      </x:c>
      <x:c r="P92" s="9" t="n">
        <x:f>IF(G92=0,"n.a.",L92/G92)</x:f>
        <x:v>0.15441176470588236</x:v>
      </x:c>
      <x:c r="Q92" s="1" t="n">
        <x:v>1</x:v>
      </x:c>
    </x:row>
    <x:row r="93">
      <x:c r="A93" s="1" t="str">
        <x:v>C089</x:v>
      </x:c>
      <x:c r="B93" s="1" t="str">
        <x:v>I017</x:v>
      </x:c>
      <x:c r="C93" s="1" t="str">
        <x:v>Email</x:v>
      </x:c>
      <x:c r="D93" s="1" t="str">
        <x:v>2025-09</x:v>
      </x:c>
      <x:c r="E93" s="8" t="n">
        <x:v>227258</x:v>
      </x:c>
      <x:c r="F93" s="8" t="n">
        <x:v>172963.58</x:v>
      </x:c>
      <x:c r="G93" s="1" t="n">
        <x:v>421</x:v>
      </x:c>
      <x:c r="H93" s="1" t="n">
        <x:v>234</x:v>
      </x:c>
      <x:c r="I93" s="1" t="n">
        <x:v>163</x:v>
      </x:c>
      <x:c r="J93" s="1" t="n">
        <x:v>104</x:v>
      </x:c>
      <x:c r="K93" s="1" t="n">
        <x:v>77</x:v>
      </x:c>
      <x:c r="L93" s="1" t="n">
        <x:v>36</x:v>
      </x:c>
      <x:c r="M93" s="8" t="n">
        <x:f>IF(H93=0,"n.a.",F93/H93)</x:f>
        <x:v>739.1605982905983</x:v>
      </x:c>
      <x:c r="N93" s="8" t="n">
        <x:f>IF(J93=0,"n.a.",F93/J93)</x:f>
        <x:v>1663.111346153846</x:v>
      </x:c>
      <x:c r="O93" s="8" t="n">
        <x:f>IF(L93=0,"n.a.",F93/L93)</x:f>
        <x:v>4804.543888888888</x:v>
      </x:c>
      <x:c r="P93" s="9" t="n">
        <x:f>IF(G93=0,"n.a.",L93/G93)</x:f>
        <x:v>0.0855106888361045</x:v>
      </x:c>
      <x:c r="Q93" s="1" t="n">
        <x:v>1</x:v>
      </x:c>
    </x:row>
    <x:row r="94">
      <x:c r="A94" s="1" t="str">
        <x:v>C090</x:v>
      </x:c>
      <x:c r="B94" s="1" t="str">
        <x:v>I018</x:v>
      </x:c>
      <x:c r="C94" s="1" t="str">
        <x:v>Education webinars</x:v>
      </x:c>
      <x:c r="D94" s="1" t="str">
        <x:v>2025-09</x:v>
      </x:c>
      <x:c r="E94" s="8" t="n">
        <x:v>120708</x:v>
      </x:c>
      <x:c r="F94" s="8" t="n">
        <x:v>124151.83</x:v>
      </x:c>
      <x:c r="G94" s="1" t="n">
        <x:v>546</x:v>
      </x:c>
      <x:c r="H94" s="1" t="n">
        <x:v>380</x:v>
      </x:c>
      <x:c r="I94" s="1" t="n">
        <x:v>250</x:v>
      </x:c>
      <x:c r="J94" s="1" t="n">
        <x:v>186</x:v>
      </x:c>
      <x:c r="K94" s="1" t="n">
        <x:v>143</x:v>
      </x:c>
      <x:c r="L94" s="1" t="n">
        <x:v>73</x:v>
      </x:c>
      <x:c r="M94" s="8" t="n">
        <x:f>IF(H94=0,"n.a.",F94/H94)</x:f>
        <x:v>326.7153421052632</x:v>
      </x:c>
      <x:c r="N94" s="8" t="n">
        <x:f>IF(J94=0,"n.a.",F94/J94)</x:f>
        <x:v>667.4829569892473</x:v>
      </x:c>
      <x:c r="O94" s="8" t="n">
        <x:f>IF(L94=0,"n.a.",F94/L94)</x:f>
        <x:v>1700.71</x:v>
      </x:c>
      <x:c r="P94" s="9" t="n">
        <x:f>IF(G94=0,"n.a.",L94/G94)</x:f>
        <x:v>0.1336996336996337</x:v>
      </x:c>
      <x:c r="Q94" s="1" t="n">
        <x:v>1</x:v>
      </x:c>
    </x:row>
    <x:row r="95">
      <x:c r="A95" s="1" t="str">
        <x:v>C091</x:v>
      </x:c>
      <x:c r="B95" s="1" t="str">
        <x:v>I019</x:v>
      </x:c>
      <x:c r="C95" s="1" t="str">
        <x:v>Display Ads</x:v>
      </x:c>
      <x:c r="D95" s="1" t="str">
        <x:v>2025-10</x:v>
      </x:c>
      <x:c r="E95" s="8" t="n">
        <x:v>143071</x:v>
      </x:c>
      <x:c r="F95" s="8" t="n">
        <x:v>106164.4</x:v>
      </x:c>
      <x:c r="G95" s="1" t="n">
        <x:v>452</x:v>
      </x:c>
      <x:c r="H95" s="1" t="n">
        <x:v>189</x:v>
      </x:c>
      <x:c r="I95" s="1" t="n">
        <x:v>138</x:v>
      </x:c>
      <x:c r="J95" s="1" t="n">
        <x:v>115</x:v>
      </x:c>
      <x:c r="K95" s="1" t="n">
        <x:v>82</x:v>
      </x:c>
      <x:c r="L95" s="1" t="n">
        <x:v>47</x:v>
      </x:c>
      <x:c r="M95" s="8" t="n">
        <x:f>IF(H95=0,"n.a.",F95/H95)</x:f>
        <x:v>561.716402116402</x:v>
      </x:c>
      <x:c r="N95" s="8" t="n">
        <x:f>IF(J95=0,"n.a.",F95/J95)</x:f>
        <x:v>923.1686956521738</x:v>
      </x:c>
      <x:c r="O95" s="8" t="n">
        <x:f>IF(L95=0,"n.a.",F95/L95)</x:f>
        <x:v>2258.817021276596</x:v>
      </x:c>
      <x:c r="P95" s="9" t="n">
        <x:f>IF(G95=0,"n.a.",L95/G95)</x:f>
        <x:v>0.10398230088495575</x:v>
      </x:c>
      <x:c r="Q95" s="1" t="n">
        <x:v>0</x:v>
      </x:c>
    </x:row>
    <x:row r="96">
      <x:c r="A96" s="1" t="str">
        <x:v>C092</x:v>
      </x:c>
      <x:c r="B96" s="1" t="str">
        <x:v>I020</x:v>
      </x:c>
      <x:c r="C96" s="1" t="str">
        <x:v>Google Search</x:v>
      </x:c>
      <x:c r="D96" s="1" t="str">
        <x:v>2025-10</x:v>
      </x:c>
      <x:c r="E96" s="8" t="n">
        <x:v>107442</x:v>
      </x:c>
      <x:c r="F96" s="8" t="n">
        <x:v>117615.15</x:v>
      </x:c>
      <x:c r="G96" s="1" t="n">
        <x:v>416</x:v>
      </x:c>
      <x:c r="H96" s="1" t="n">
        <x:v>289</x:v>
      </x:c>
      <x:c r="I96" s="1" t="n">
        <x:v>195</x:v>
      </x:c>
      <x:c r="J96" s="1" t="n">
        <x:v>142</x:v>
      </x:c>
      <x:c r="K96" s="1" t="n">
        <x:v>105</x:v>
      </x:c>
      <x:c r="L96" s="1" t="n">
        <x:v>64</x:v>
      </x:c>
      <x:c r="M96" s="8" t="n">
        <x:f>IF(H96=0,"n.a.",F96/H96)</x:f>
        <x:v>406.9728373702422</x:v>
      </x:c>
      <x:c r="N96" s="8" t="n">
        <x:f>IF(J96=0,"n.a.",F96/J96)</x:f>
        <x:v>828.2757042253521</x:v>
      </x:c>
      <x:c r="O96" s="8" t="n">
        <x:f>IF(L96=0,"n.a.",F96/L96)</x:f>
        <x:v>1837.73671875</x:v>
      </x:c>
      <x:c r="P96" s="9" t="n">
        <x:f>IF(G96=0,"n.a.",L96/G96)</x:f>
        <x:v>0.15384615384615385</x:v>
      </x:c>
      <x:c r="Q96" s="1" t="n">
        <x:v>0</x:v>
      </x:c>
    </x:row>
    <x:row r="97">
      <x:c r="A97" s="1" t="str">
        <x:v>C093</x:v>
      </x:c>
      <x:c r="B97" s="1" t="str">
        <x:v>I021</x:v>
      </x:c>
      <x:c r="C97" s="1" t="str">
        <x:v>Meta Ads</x:v>
      </x:c>
      <x:c r="D97" s="1" t="str">
        <x:v>2025-10</x:v>
      </x:c>
      <x:c r="E97" s="8" t="n">
        <x:v>151032</x:v>
      </x:c>
      <x:c r="F97" s="8" t="n">
        <x:v>100243.32</x:v>
      </x:c>
      <x:c r="G97" s="1" t="n">
        <x:v>273</x:v>
      </x:c>
      <x:c r="H97" s="1" t="n">
        <x:v>141</x:v>
      </x:c>
      <x:c r="I97" s="1" t="n">
        <x:v>103</x:v>
      </x:c>
      <x:c r="J97" s="1" t="n">
        <x:v>85</x:v>
      </x:c>
      <x:c r="K97" s="1" t="n">
        <x:v>63</x:v>
      </x:c>
      <x:c r="L97" s="1" t="n">
        <x:v>36</x:v>
      </x:c>
      <x:c r="M97" s="8" t="n">
        <x:f>IF(H97=0,"n.a.",F97/H97)</x:f>
        <x:v>710.9455319148936</x:v>
      </x:c>
      <x:c r="N97" s="8" t="n">
        <x:f>IF(J97=0,"n.a.",F97/J97)</x:f>
        <x:v>1179.3331764705883</x:v>
      </x:c>
      <x:c r="O97" s="8" t="n">
        <x:f>IF(L97=0,"n.a.",F97/L97)</x:f>
        <x:v>2784.536666666667</x:v>
      </x:c>
      <x:c r="P97" s="9" t="n">
        <x:f>IF(G97=0,"n.a.",L97/G97)</x:f>
        <x:v>0.13186813186813187</x:v>
      </x:c>
      <x:c r="Q97" s="1" t="n">
        <x:v>0</x:v>
      </x:c>
    </x:row>
    <x:row r="98">
      <x:c r="A98" s="1" t="str">
        <x:v>C094</x:v>
      </x:c>
      <x:c r="B98" s="1" t="str">
        <x:v>I022</x:v>
      </x:c>
      <x:c r="C98" s="1" t="str">
        <x:v>Organic Search</x:v>
      </x:c>
      <x:c r="D98" s="1" t="str">
        <x:v>2025-10</x:v>
      </x:c>
      <x:c r="E98" s="8" t="n">
        <x:v>172610</x:v>
      </x:c>
      <x:c r="F98" s="8" t="n">
        <x:v>148545.35</x:v>
      </x:c>
      <x:c r="G98" s="1" t="n">
        <x:v>652</x:v>
      </x:c>
      <x:c r="H98" s="1" t="n">
        <x:v>432</x:v>
      </x:c>
      <x:c r="I98" s="1" t="n">
        <x:v>318</x:v>
      </x:c>
      <x:c r="J98" s="1" t="n">
        <x:v>217</x:v>
      </x:c>
      <x:c r="K98" s="1" t="n">
        <x:v>162</x:v>
      </x:c>
      <x:c r="L98" s="1" t="n">
        <x:v>87</x:v>
      </x:c>
      <x:c r="M98" s="8" t="n">
        <x:f>IF(H98=0,"n.a.",F98/H98)</x:f>
        <x:v>343.85497685185186</x:v>
      </x:c>
      <x:c r="N98" s="8" t="n">
        <x:f>IF(J98=0,"n.a.",F98/J98)</x:f>
        <x:v>684.5407834101383</x:v>
      </x:c>
      <x:c r="O98" s="8" t="n">
        <x:f>IF(L98=0,"n.a.",F98/L98)</x:f>
        <x:v>1707.4178160919541</x:v>
      </x:c>
      <x:c r="P98" s="9" t="n">
        <x:f>IF(G98=0,"n.a.",L98/G98)</x:f>
        <x:v>0.1334355828220859</x:v>
      </x:c>
      <x:c r="Q98" s="1" t="n">
        <x:v>0</x:v>
      </x:c>
    </x:row>
    <x:row r="99">
      <x:c r="A99" s="1" t="str">
        <x:v>C095</x:v>
      </x:c>
      <x:c r="B99" s="1" t="str">
        <x:v>I023</x:v>
      </x:c>
      <x:c r="C99" s="1" t="str">
        <x:v>Referral</x:v>
      </x:c>
      <x:c r="D99" s="1" t="str">
        <x:v>2025-10</x:v>
      </x:c>
      <x:c r="E99" s="8" t="n">
        <x:v>151522</x:v>
      </x:c>
      <x:c r="F99" s="8" t="n">
        <x:v>151464.08</x:v>
      </x:c>
      <x:c r="G99" s="1" t="n">
        <x:v>446</x:v>
      </x:c>
      <x:c r="H99" s="1" t="n">
        <x:v>346</x:v>
      </x:c>
      <x:c r="I99" s="1" t="n">
        <x:v>245</x:v>
      </x:c>
      <x:c r="J99" s="1" t="n">
        <x:v>184</x:v>
      </x:c>
      <x:c r="K99" s="1" t="n">
        <x:v>141</x:v>
      </x:c>
      <x:c r="L99" s="1" t="n">
        <x:v>71</x:v>
      </x:c>
      <x:c r="M99" s="8" t="n">
        <x:f>IF(H99=0,"n.a.",F99/H99)</x:f>
        <x:v>437.7574566473988</x:v>
      </x:c>
      <x:c r="N99" s="8" t="n">
        <x:f>IF(J99=0,"n.a.",F99/J99)</x:f>
        <x:v>823.1743478260869</x:v>
      </x:c>
      <x:c r="O99" s="8" t="n">
        <x:f>IF(L99=0,"n.a.",F99/L99)</x:f>
        <x:v>2133.2969014084506</x:v>
      </x:c>
      <x:c r="P99" s="9" t="n">
        <x:f>IF(G99=0,"n.a.",L99/G99)</x:f>
        <x:v>0.1591928251121076</x:v>
      </x:c>
      <x:c r="Q99" s="1" t="n">
        <x:v>0</x:v>
      </x:c>
    </x:row>
    <x:row r="100">
      <x:c r="A100" s="1" t="str">
        <x:v>C096</x:v>
      </x:c>
      <x:c r="B100" s="1" t="str">
        <x:v>I024</x:v>
      </x:c>
      <x:c r="C100" s="1" t="str">
        <x:v>Email</x:v>
      </x:c>
      <x:c r="D100" s="1" t="str">
        <x:v>2025-10</x:v>
      </x:c>
      <x:c r="E100" s="8" t="n">
        <x:v>163397</x:v>
      </x:c>
      <x:c r="F100" s="8" t="n">
        <x:v>159202.75</x:v>
      </x:c>
      <x:c r="G100" s="1" t="n">
        <x:v>471</x:v>
      </x:c>
      <x:c r="H100" s="1" t="n">
        <x:v>247</x:v>
      </x:c>
      <x:c r="I100" s="1" t="n">
        <x:v>153</x:v>
      </x:c>
      <x:c r="J100" s="1" t="n">
        <x:v>95</x:v>
      </x:c>
      <x:c r="K100" s="1" t="n">
        <x:v>72</x:v>
      </x:c>
      <x:c r="L100" s="1" t="n">
        <x:v>40</x:v>
      </x:c>
      <x:c r="M100" s="8" t="n">
        <x:f>IF(H100=0,"n.a.",F100/H100)</x:f>
        <x:v>644.5455465587045</x:v>
      </x:c>
      <x:c r="N100" s="8" t="n">
        <x:f>IF(J100=0,"n.a.",F100/J100)</x:f>
        <x:v>1675.8184210526315</x:v>
      </x:c>
      <x:c r="O100" s="8" t="n">
        <x:f>IF(L100=0,"n.a.",F100/L100)</x:f>
        <x:v>3980.06875</x:v>
      </x:c>
      <x:c r="P100" s="9" t="n">
        <x:f>IF(G100=0,"n.a.",L100/G100)</x:f>
        <x:v>0.08492569002123142</x:v>
      </x:c>
      <x:c r="Q100" s="1" t="n">
        <x:v>0</x:v>
      </x:c>
    </x:row>
    <x:row r="101">
      <x:c r="A101" s="1" t="str">
        <x:v>C097</x:v>
      </x:c>
      <x:c r="B101" s="1" t="str">
        <x:v>I001</x:v>
      </x:c>
      <x:c r="C101" s="1" t="str">
        <x:v>Education webinars</x:v>
      </x:c>
      <x:c r="D101" s="1" t="str">
        <x:v>2025-10</x:v>
      </x:c>
      <x:c r="E101" s="8" t="n">
        <x:v>221111</x:v>
      </x:c>
      <x:c r="F101" s="8" t="n">
        <x:v>160204.8</x:v>
      </x:c>
      <x:c r="G101" s="1" t="n">
        <x:v>427</x:v>
      </x:c>
      <x:c r="H101" s="1" t="n">
        <x:v>313</x:v>
      </x:c>
      <x:c r="I101" s="1" t="n">
        <x:v>219</x:v>
      </x:c>
      <x:c r="J101" s="1" t="n">
        <x:v>164</x:v>
      </x:c>
      <x:c r="K101" s="1" t="n">
        <x:v>130</x:v>
      </x:c>
      <x:c r="L101" s="1" t="n">
        <x:v>74</x:v>
      </x:c>
      <x:c r="M101" s="8" t="n">
        <x:f>IF(H101=0,"n.a.",F101/H101)</x:f>
        <x:v>511.8364217252396</x:v>
      </x:c>
      <x:c r="N101" s="8" t="n">
        <x:f>IF(J101=0,"n.a.",F101/J101)</x:f>
        <x:v>976.8585365853658</x:v>
      </x:c>
      <x:c r="O101" s="8" t="n">
        <x:f>IF(L101=0,"n.a.",F101/L101)</x:f>
        <x:v>2164.9297297297294</x:v>
      </x:c>
      <x:c r="P101" s="9" t="n">
        <x:f>IF(G101=0,"n.a.",L101/G101)</x:f>
        <x:v>0.17330210772833723</x:v>
      </x:c>
      <x:c r="Q101" s="1" t="n">
        <x:v>0</x:v>
      </x:c>
    </x:row>
    <x:row r="102">
      <x:c r="A102" s="1" t="str">
        <x:v>C098</x:v>
      </x:c>
      <x:c r="B102" s="1" t="str">
        <x:v>I002</x:v>
      </x:c>
      <x:c r="C102" s="1" t="str">
        <x:v>Display Ads</x:v>
      </x:c>
      <x:c r="D102" s="1" t="str">
        <x:v>2025-10</x:v>
      </x:c>
      <x:c r="E102" s="8" t="n">
        <x:v>238547</x:v>
      </x:c>
      <x:c r="F102" s="8" t="n">
        <x:v>266446.83</x:v>
      </x:c>
      <x:c r="G102" s="1" t="n">
        <x:v>606</x:v>
      </x:c>
      <x:c r="H102" s="1" t="n">
        <x:v>241</x:v>
      </x:c>
      <x:c r="I102" s="1" t="n">
        <x:v>172</x:v>
      </x:c>
      <x:c r="J102" s="1" t="n">
        <x:v>119</x:v>
      </x:c>
      <x:c r="K102" s="1" t="n">
        <x:v>91</x:v>
      </x:c>
      <x:c r="L102" s="1" t="n">
        <x:v>52</x:v>
      </x:c>
      <x:c r="M102" s="8" t="n">
        <x:f>IF(H102=0,"n.a.",F102/H102)</x:f>
        <x:v>1105.5885062240664</x:v>
      </x:c>
      <x:c r="N102" s="8" t="n">
        <x:f>IF(J102=0,"n.a.",F102/J102)</x:f>
        <x:v>2239.0489915966386</x:v>
      </x:c>
      <x:c r="O102" s="8" t="n">
        <x:f>IF(L102=0,"n.a.",F102/L102)</x:f>
        <x:v>5123.9775</x:v>
      </x:c>
      <x:c r="P102" s="9" t="n">
        <x:f>IF(G102=0,"n.a.",L102/G102)</x:f>
        <x:v>0.0858085808580858</x:v>
      </x:c>
      <x:c r="Q102" s="1" t="n">
        <x:v>0</x:v>
      </x:c>
    </x:row>
    <x:row r="103">
      <x:c r="A103" s="1" t="str">
        <x:v>C099</x:v>
      </x:c>
      <x:c r="B103" s="1" t="str">
        <x:v>I003</x:v>
      </x:c>
      <x:c r="C103" s="1" t="str">
        <x:v>Google Search</x:v>
      </x:c>
      <x:c r="D103" s="1" t="str">
        <x:v>2025-10</x:v>
      </x:c>
      <x:c r="E103" s="8" t="n">
        <x:v>182378</x:v>
      </x:c>
      <x:c r="F103" s="8" t="n">
        <x:v>186716</x:v>
      </x:c>
      <x:c r="G103" s="1" t="n">
        <x:v>335</x:v>
      </x:c>
      <x:c r="H103" s="1" t="n">
        <x:v>228</x:v>
      </x:c>
      <x:c r="I103" s="1" t="n">
        <x:v>155</x:v>
      </x:c>
      <x:c r="J103" s="1" t="n">
        <x:v>105</x:v>
      </x:c>
      <x:c r="K103" s="1" t="n">
        <x:v>77</x:v>
      </x:c>
      <x:c r="L103" s="1" t="n">
        <x:v>46</x:v>
      </x:c>
      <x:c r="M103" s="8" t="n">
        <x:f>IF(H103=0,"n.a.",F103/H103)</x:f>
        <x:v>818.9298245614035</x:v>
      </x:c>
      <x:c r="N103" s="8" t="n">
        <x:f>IF(J103=0,"n.a.",F103/J103)</x:f>
        <x:v>1778.247619047619</x:v>
      </x:c>
      <x:c r="O103" s="8" t="n">
        <x:f>IF(L103=0,"n.a.",F103/L103)</x:f>
        <x:v>4059.0434782608695</x:v>
      </x:c>
      <x:c r="P103" s="9" t="n">
        <x:f>IF(G103=0,"n.a.",L103/G103)</x:f>
        <x:v>0.1373134328358209</x:v>
      </x:c>
      <x:c r="Q103" s="1" t="n">
        <x:v>0</x:v>
      </x:c>
    </x:row>
    <x:row r="104">
      <x:c r="A104" s="1" t="str">
        <x:v>C100</x:v>
      </x:c>
      <x:c r="B104" s="1" t="str">
        <x:v>I004</x:v>
      </x:c>
      <x:c r="C104" s="1" t="str">
        <x:v>Meta Ads</x:v>
      </x:c>
      <x:c r="D104" s="1" t="str">
        <x:v>2025-10</x:v>
      </x:c>
      <x:c r="E104" s="8" t="n">
        <x:v>196910</x:v>
      </x:c>
      <x:c r="F104" s="8" t="n">
        <x:v>170276.18</x:v>
      </x:c>
      <x:c r="G104" s="1" t="n">
        <x:v>534</x:v>
      </x:c>
      <x:c r="H104" s="1" t="n">
        <x:v>296</x:v>
      </x:c>
      <x:c r="I104" s="1" t="n">
        <x:v>207</x:v>
      </x:c>
      <x:c r="J104" s="1" t="n">
        <x:v>145</x:v>
      </x:c>
      <x:c r="K104" s="1" t="n">
        <x:v>114</x:v>
      </x:c>
      <x:c r="L104" s="1" t="n">
        <x:v>61</x:v>
      </x:c>
      <x:c r="M104" s="8" t="n">
        <x:f>IF(H104=0,"n.a.",F104/H104)</x:f>
        <x:v>575.2573648648648</x:v>
      </x:c>
      <x:c r="N104" s="8" t="n">
        <x:f>IF(J104=0,"n.a.",F104/J104)</x:f>
        <x:v>1174.3184827586206</x:v>
      </x:c>
      <x:c r="O104" s="8" t="n">
        <x:f>IF(L104=0,"n.a.",F104/L104)</x:f>
        <x:v>2791.4127868852456</x:v>
      </x:c>
      <x:c r="P104" s="9" t="n">
        <x:f>IF(G104=0,"n.a.",L104/G104)</x:f>
        <x:v>0.11423220973782772</x:v>
      </x:c>
      <x:c r="Q104" s="1" t="n">
        <x:v>0</x:v>
      </x:c>
    </x:row>
    <x:row r="105">
      <x:c r="A105" s="1" t="str">
        <x:v>C101</x:v>
      </x:c>
      <x:c r="B105" s="1" t="str">
        <x:v>I005</x:v>
      </x:c>
      <x:c r="C105" s="1" t="str">
        <x:v>Organic Search</x:v>
      </x:c>
      <x:c r="D105" s="1" t="str">
        <x:v>2025-11</x:v>
      </x:c>
      <x:c r="E105" s="8" t="n">
        <x:v>239481</x:v>
      </x:c>
      <x:c r="F105" s="8" t="n">
        <x:v>239440.07</x:v>
      </x:c>
      <x:c r="G105" s="1" t="n">
        <x:v>382</x:v>
      </x:c>
      <x:c r="H105" s="1" t="n">
        <x:v>258</x:v>
      </x:c>
      <x:c r="I105" s="1" t="n">
        <x:v>167</x:v>
      </x:c>
      <x:c r="J105" s="1" t="n">
        <x:v>136</x:v>
      </x:c>
      <x:c r="K105" s="1" t="n">
        <x:v>94</x:v>
      </x:c>
      <x:c r="L105" s="1" t="n">
        <x:v>45</x:v>
      </x:c>
      <x:c r="M105" s="8" t="n">
        <x:f>IF(H105=0,"n.a.",F105/H105)</x:f>
        <x:v>928.0622868217055</x:v>
      </x:c>
      <x:c r="N105" s="8" t="n">
        <x:f>IF(J105=0,"n.a.",F105/J105)</x:f>
        <x:v>1760.5887500000001</x:v>
      </x:c>
      <x:c r="O105" s="8" t="n">
        <x:f>IF(L105=0,"n.a.",F105/L105)</x:f>
        <x:v>5320.890444444444</x:v>
      </x:c>
      <x:c r="P105" s="9" t="n">
        <x:f>IF(G105=0,"n.a.",L105/G105)</x:f>
        <x:v>0.11780104712041885</x:v>
      </x:c>
      <x:c r="Q105" s="1" t="n">
        <x:v>0</x:v>
      </x:c>
    </x:row>
    <x:row r="106">
      <x:c r="A106" s="1" t="str">
        <x:v>C102</x:v>
      </x:c>
      <x:c r="B106" s="1" t="str">
        <x:v>I006</x:v>
      </x:c>
      <x:c r="C106" s="1" t="str">
        <x:v>Referral</x:v>
      </x:c>
      <x:c r="D106" s="1" t="str">
        <x:v>2025-11</x:v>
      </x:c>
      <x:c r="E106" s="8" t="n">
        <x:v>199330</x:v>
      </x:c>
      <x:c r="F106" s="8" t="n">
        <x:v>209539.33</x:v>
      </x:c>
      <x:c r="G106" s="1" t="n">
        <x:v>443</x:v>
      </x:c>
      <x:c r="H106" s="1" t="n">
        <x:v>339</x:v>
      </x:c>
      <x:c r="I106" s="1" t="n">
        <x:v>244</x:v>
      </x:c>
      <x:c r="J106" s="1" t="n">
        <x:v>147</x:v>
      </x:c>
      <x:c r="K106" s="1" t="n">
        <x:v>102</x:v>
      </x:c>
      <x:c r="L106" s="1" t="n">
        <x:v>51</x:v>
      </x:c>
      <x:c r="M106" s="8" t="n">
        <x:f>IF(H106=0,"n.a.",F106/H106)</x:f>
        <x:v>618.1101179941003</x:v>
      </x:c>
      <x:c r="N106" s="8" t="n">
        <x:f>IF(J106=0,"n.a.",F106/J106)</x:f>
        <x:v>1425.437619047619</x:v>
      </x:c>
      <x:c r="O106" s="8" t="n">
        <x:f>IF(L106=0,"n.a.",F106/L106)</x:f>
        <x:v>4108.61431372549</x:v>
      </x:c>
      <x:c r="P106" s="9" t="n">
        <x:f>IF(G106=0,"n.a.",L106/G106)</x:f>
        <x:v>0.11512415349887133</x:v>
      </x:c>
      <x:c r="Q106" s="1" t="n">
        <x:v>0</x:v>
      </x:c>
    </x:row>
    <x:row r="107">
      <x:c r="A107" s="1" t="str">
        <x:v>C103</x:v>
      </x:c>
      <x:c r="B107" s="1" t="str">
        <x:v>I007</x:v>
      </x:c>
      <x:c r="C107" s="1" t="str">
        <x:v>Email</x:v>
      </x:c>
      <x:c r="D107" s="1" t="str">
        <x:v>2025-11</x:v>
      </x:c>
      <x:c r="E107" s="8" t="n">
        <x:v>221474</x:v>
      </x:c>
      <x:c r="F107" s="8" t="n">
        <x:v>152792.74</x:v>
      </x:c>
      <x:c r="G107" s="1" t="n">
        <x:v>236</x:v>
      </x:c>
      <x:c r="H107" s="1" t="n">
        <x:v>125</x:v>
      </x:c>
      <x:c r="I107" s="1" t="n">
        <x:v>85</x:v>
      </x:c>
      <x:c r="J107" s="1" t="n">
        <x:v>63</x:v>
      </x:c>
      <x:c r="K107" s="1" t="n">
        <x:v>41</x:v>
      </x:c>
      <x:c r="L107" s="1" t="n">
        <x:v>15</x:v>
      </x:c>
      <x:c r="M107" s="8" t="n">
        <x:f>IF(H107=0,"n.a.",F107/H107)</x:f>
        <x:v>1222.3419199999998</x:v>
      </x:c>
      <x:c r="N107" s="8" t="n">
        <x:f>IF(J107=0,"n.a.",F107/J107)</x:f>
        <x:v>2425.281587301587</x:v>
      </x:c>
      <x:c r="O107" s="8" t="n">
        <x:f>IF(L107=0,"n.a.",F107/L107)</x:f>
        <x:v>10186.182666666666</x:v>
      </x:c>
      <x:c r="P107" s="9" t="n">
        <x:f>IF(G107=0,"n.a.",L107/G107)</x:f>
        <x:v>0.0635593220338983</x:v>
      </x:c>
      <x:c r="Q107" s="1" t="n">
        <x:v>0</x:v>
      </x:c>
    </x:row>
    <x:row r="108">
      <x:c r="A108" s="1" t="str">
        <x:v>C104</x:v>
      </x:c>
      <x:c r="B108" s="1" t="str">
        <x:v>I008</x:v>
      </x:c>
      <x:c r="C108" s="1" t="str">
        <x:v>Education webinars</x:v>
      </x:c>
      <x:c r="D108" s="1" t="str">
        <x:v>2025-11</x:v>
      </x:c>
      <x:c r="E108" s="8" t="n">
        <x:v>83796</x:v>
      </x:c>
      <x:c r="F108" s="8" t="n">
        <x:v>64716.55</x:v>
      </x:c>
      <x:c r="G108" s="1" t="n">
        <x:v>287</x:v>
      </x:c>
      <x:c r="H108" s="1" t="n">
        <x:v>191</x:v>
      </x:c>
      <x:c r="I108" s="1" t="n">
        <x:v>126</x:v>
      </x:c>
      <x:c r="J108" s="1" t="n">
        <x:v>106</x:v>
      </x:c>
      <x:c r="K108" s="1" t="n">
        <x:v>68</x:v>
      </x:c>
      <x:c r="L108" s="1" t="n">
        <x:v>30</x:v>
      </x:c>
      <x:c r="M108" s="8" t="n">
        <x:f>IF(H108=0,"n.a.",F108/H108)</x:f>
        <x:v>338.8301047120419</x:v>
      </x:c>
      <x:c r="N108" s="8" t="n">
        <x:f>IF(J108=0,"n.a.",F108/J108)</x:f>
        <x:v>610.5334905660378</x:v>
      </x:c>
      <x:c r="O108" s="8" t="n">
        <x:f>IF(L108=0,"n.a.",F108/L108)</x:f>
        <x:v>2157.2183333333332</x:v>
      </x:c>
      <x:c r="P108" s="9" t="n">
        <x:f>IF(G108=0,"n.a.",L108/G108)</x:f>
        <x:v>0.10452961672473868</x:v>
      </x:c>
      <x:c r="Q108" s="1" t="n">
        <x:v>0</x:v>
      </x:c>
    </x:row>
    <x:row r="109">
      <x:c r="A109" s="1" t="str">
        <x:v>C105</x:v>
      </x:c>
      <x:c r="B109" s="1" t="str">
        <x:v>I009</x:v>
      </x:c>
      <x:c r="C109" s="1" t="str">
        <x:v>Display Ads</x:v>
      </x:c>
      <x:c r="D109" s="1" t="str">
        <x:v>2025-11</x:v>
      </x:c>
      <x:c r="E109" s="8" t="n">
        <x:v>140544</x:v>
      </x:c>
      <x:c r="F109" s="8" t="n">
        <x:v>116092.95</x:v>
      </x:c>
      <x:c r="G109" s="1" t="n">
        <x:v>491</x:v>
      </x:c>
      <x:c r="H109" s="1" t="n">
        <x:v>201</x:v>
      </x:c>
      <x:c r="I109" s="1" t="n">
        <x:v>138</x:v>
      </x:c>
      <x:c r="J109" s="1" t="n">
        <x:v>90</x:v>
      </x:c>
      <x:c r="K109" s="1" t="n">
        <x:v>63</x:v>
      </x:c>
      <x:c r="L109" s="1" t="n">
        <x:v>32</x:v>
      </x:c>
      <x:c r="M109" s="8" t="n">
        <x:f>IF(H109=0,"n.a.",F109/H109)</x:f>
        <x:v>577.5768656716418</x:v>
      </x:c>
      <x:c r="N109" s="8" t="n">
        <x:f>IF(J109=0,"n.a.",F109/J109)</x:f>
        <x:v>1289.9216666666666</x:v>
      </x:c>
      <x:c r="O109" s="8" t="n">
        <x:f>IF(L109=0,"n.a.",F109/L109)</x:f>
        <x:v>3627.9046875</x:v>
      </x:c>
      <x:c r="P109" s="9" t="n">
        <x:f>IF(G109=0,"n.a.",L109/G109)</x:f>
        <x:v>0.06517311608961303</x:v>
      </x:c>
      <x:c r="Q109" s="1" t="n">
        <x:v>0</x:v>
      </x:c>
    </x:row>
    <x:row r="110">
      <x:c r="A110" s="1" t="str">
        <x:v>C106</x:v>
      </x:c>
      <x:c r="B110" s="1" t="str">
        <x:v>I010</x:v>
      </x:c>
      <x:c r="C110" s="1" t="str">
        <x:v>Google Search</x:v>
      </x:c>
      <x:c r="D110" s="1" t="str">
        <x:v>2025-11</x:v>
      </x:c>
      <x:c r="E110" s="8" t="n">
        <x:v>207072</x:v>
      </x:c>
      <x:c r="F110" s="8" t="n">
        <x:v>231177.52</x:v>
      </x:c>
      <x:c r="G110" s="1" t="n">
        <x:v>617</x:v>
      </x:c>
      <x:c r="H110" s="1" t="n">
        <x:v>362</x:v>
      </x:c>
      <x:c r="I110" s="1" t="n">
        <x:v>248</x:v>
      </x:c>
      <x:c r="J110" s="1" t="n">
        <x:v>178</x:v>
      </x:c>
      <x:c r="K110" s="1" t="n">
        <x:v>132</x:v>
      </x:c>
      <x:c r="L110" s="1" t="n">
        <x:v>62</x:v>
      </x:c>
      <x:c r="M110" s="8" t="n">
        <x:f>IF(H110=0,"n.a.",F110/H110)</x:f>
        <x:v>638.6119337016574</x:v>
      </x:c>
      <x:c r="N110" s="8" t="n">
        <x:f>IF(J110=0,"n.a.",F110/J110)</x:f>
        <x:v>1298.7501123595505</x:v>
      </x:c>
      <x:c r="O110" s="8" t="n">
        <x:f>IF(L110=0,"n.a.",F110/L110)</x:f>
        <x:v>3728.6696774193547</x:v>
      </x:c>
      <x:c r="P110" s="9" t="n">
        <x:f>IF(G110=0,"n.a.",L110/G110)</x:f>
        <x:v>0.10048622366288493</x:v>
      </x:c>
      <x:c r="Q110" s="1" t="n">
        <x:v>0</x:v>
      </x:c>
    </x:row>
    <x:row r="111">
      <x:c r="A111" s="1" t="str">
        <x:v>C107</x:v>
      </x:c>
      <x:c r="B111" s="1" t="str">
        <x:v>I011</x:v>
      </x:c>
      <x:c r="C111" s="1" t="str">
        <x:v>Meta Ads</x:v>
      </x:c>
      <x:c r="D111" s="1" t="str">
        <x:v>2025-11</x:v>
      </x:c>
      <x:c r="E111" s="8" t="n">
        <x:v>101957</x:v>
      </x:c>
      <x:c r="F111" s="8" t="n">
        <x:v>67138.3</x:v>
      </x:c>
      <x:c r="G111" s="1" t="n">
        <x:v>503</x:v>
      </x:c>
      <x:c r="H111" s="1" t="n">
        <x:v>264</x:v>
      </x:c>
      <x:c r="I111" s="1" t="n">
        <x:v>186</x:v>
      </x:c>
      <x:c r="J111" s="1" t="n">
        <x:v>142</x:v>
      </x:c>
      <x:c r="K111" s="1" t="n">
        <x:v>100</x:v>
      </x:c>
      <x:c r="L111" s="1" t="n">
        <x:v>41</x:v>
      </x:c>
      <x:c r="M111" s="8" t="n">
        <x:f>IF(H111=0,"n.a.",F111/H111)</x:f>
        <x:v>254.31174242424242</x:v>
      </x:c>
      <x:c r="N111" s="8" t="n">
        <x:f>IF(J111=0,"n.a.",F111/J111)</x:f>
        <x:v>472.8049295774648</x:v>
      </x:c>
      <x:c r="O111" s="8" t="n">
        <x:f>IF(L111=0,"n.a.",F111/L111)</x:f>
        <x:v>1637.519512195122</x:v>
      </x:c>
      <x:c r="P111" s="9" t="n">
        <x:f>IF(G111=0,"n.a.",L111/G111)</x:f>
        <x:v>0.08151093439363817</x:v>
      </x:c>
      <x:c r="Q111" s="1" t="n">
        <x:v>0</x:v>
      </x:c>
    </x:row>
    <x:row r="112">
      <x:c r="A112" s="1" t="str">
        <x:v>C108</x:v>
      </x:c>
      <x:c r="B112" s="1" t="str">
        <x:v>I012</x:v>
      </x:c>
      <x:c r="C112" s="1" t="str">
        <x:v>Organic Search</x:v>
      </x:c>
      <x:c r="D112" s="1" t="str">
        <x:v>2025-11</x:v>
      </x:c>
      <x:c r="E112" s="8" t="n">
        <x:v>180329</x:v>
      </x:c>
      <x:c r="F112" s="8" t="n">
        <x:v>176860.24</x:v>
      </x:c>
      <x:c r="G112" s="1" t="n">
        <x:v>459</x:v>
      </x:c>
      <x:c r="H112" s="1" t="n">
        <x:v>297</x:v>
      </x:c>
      <x:c r="I112" s="1" t="n">
        <x:v>198</x:v>
      </x:c>
      <x:c r="J112" s="1" t="n">
        <x:v>143</x:v>
      </x:c>
      <x:c r="K112" s="1" t="n">
        <x:v>102</x:v>
      </x:c>
      <x:c r="L112" s="1" t="n">
        <x:v>47</x:v>
      </x:c>
      <x:c r="M112" s="8" t="n">
        <x:f>IF(H112=0,"n.a.",F112/H112)</x:f>
        <x:v>595.4890235690235</x:v>
      </x:c>
      <x:c r="N112" s="8" t="n">
        <x:f>IF(J112=0,"n.a.",F112/J112)</x:f>
        <x:v>1236.784895104895</x:v>
      </x:c>
      <x:c r="O112" s="8" t="n">
        <x:f>IF(L112=0,"n.a.",F112/L112)</x:f>
        <x:v>3762.983829787234</x:v>
      </x:c>
      <x:c r="P112" s="9" t="n">
        <x:f>IF(G112=0,"n.a.",L112/G112)</x:f>
        <x:v>0.10239651416122005</x:v>
      </x:c>
      <x:c r="Q112" s="1" t="n">
        <x:v>0</x:v>
      </x:c>
    </x:row>
    <x:row r="113">
      <x:c r="A113" s="1" t="str">
        <x:v>C109</x:v>
      </x:c>
      <x:c r="B113" s="1" t="str">
        <x:v>I013</x:v>
      </x:c>
      <x:c r="C113" s="1" t="str">
        <x:v>Referral</x:v>
      </x:c>
      <x:c r="D113" s="1" t="str">
        <x:v>2025-11</x:v>
      </x:c>
      <x:c r="E113" s="8" t="n">
        <x:v>201329</x:v>
      </x:c>
      <x:c r="F113" s="8" t="n">
        <x:v>219125.7</x:v>
      </x:c>
      <x:c r="G113" s="1" t="n">
        <x:v>285</x:v>
      </x:c>
      <x:c r="H113" s="1" t="n">
        <x:v>200</x:v>
      </x:c>
      <x:c r="I113" s="1" t="n">
        <x:v>140</x:v>
      </x:c>
      <x:c r="J113" s="1" t="n">
        <x:v>112</x:v>
      </x:c>
      <x:c r="K113" s="1" t="n">
        <x:v>80</x:v>
      </x:c>
      <x:c r="L113" s="1" t="n">
        <x:v>26</x:v>
      </x:c>
      <x:c r="M113" s="8" t="n">
        <x:f>IF(H113=0,"n.a.",F113/H113)</x:f>
        <x:v>1095.6285</x:v>
      </x:c>
      <x:c r="N113" s="8" t="n">
        <x:f>IF(J113=0,"n.a.",F113/J113)</x:f>
        <x:v>1956.4794642857144</x:v>
      </x:c>
      <x:c r="O113" s="8" t="n">
        <x:f>IF(L113=0,"n.a.",F113/L113)</x:f>
        <x:v>8427.91153846154</x:v>
      </x:c>
      <x:c r="P113" s="9" t="n">
        <x:f>IF(G113=0,"n.a.",L113/G113)</x:f>
        <x:v>0.0912280701754386</x:v>
      </x:c>
      <x:c r="Q113" s="1" t="n">
        <x:v>0</x:v>
      </x:c>
    </x:row>
    <x:row r="114">
      <x:c r="A114" s="1" t="str">
        <x:v>C110</x:v>
      </x:c>
      <x:c r="B114" s="1" t="str">
        <x:v>I014</x:v>
      </x:c>
      <x:c r="C114" s="1" t="str">
        <x:v>Email</x:v>
      </x:c>
      <x:c r="D114" s="1" t="str">
        <x:v>2025-11</x:v>
      </x:c>
      <x:c r="E114" s="8" t="n">
        <x:v>197238</x:v>
      </x:c>
      <x:c r="F114" s="8" t="n">
        <x:v>161748.3</x:v>
      </x:c>
      <x:c r="G114" s="1" t="n">
        <x:v>379</x:v>
      </x:c>
      <x:c r="H114" s="1" t="n">
        <x:v>200</x:v>
      </x:c>
      <x:c r="I114" s="1" t="n">
        <x:v>147</x:v>
      </x:c>
      <x:c r="J114" s="1" t="n">
        <x:v>81</x:v>
      </x:c>
      <x:c r="K114" s="1" t="n">
        <x:v>50</x:v>
      </x:c>
      <x:c r="L114" s="1" t="n">
        <x:v>29</x:v>
      </x:c>
      <x:c r="M114" s="8" t="n">
        <x:f>IF(H114=0,"n.a.",F114/H114)</x:f>
        <x:v>808.7415</x:v>
      </x:c>
      <x:c r="N114" s="8" t="n">
        <x:f>IF(J114=0,"n.a.",F114/J114)</x:f>
        <x:v>1996.8925925925923</x:v>
      </x:c>
      <x:c r="O114" s="8" t="n">
        <x:f>IF(L114=0,"n.a.",F114/L114)</x:f>
        <x:v>5577.527586206897</x:v>
      </x:c>
      <x:c r="P114" s="9" t="n">
        <x:f>IF(G114=0,"n.a.",L114/G114)</x:f>
        <x:v>0.07651715039577836</x:v>
      </x:c>
      <x:c r="Q114" s="1" t="n">
        <x:v>0</x:v>
      </x:c>
    </x:row>
    <x:row r="115">
      <x:c r="A115" s="1" t="str">
        <x:v>C111</x:v>
      </x:c>
      <x:c r="B115" s="1" t="str">
        <x:v>I015</x:v>
      </x:c>
      <x:c r="C115" s="1" t="str">
        <x:v>Education webinars</x:v>
      </x:c>
      <x:c r="D115" s="1" t="str">
        <x:v>2025-12</x:v>
      </x:c>
      <x:c r="E115" s="8" t="n">
        <x:v>120894</x:v>
      </x:c>
      <x:c r="F115" s="8" t="n">
        <x:v>81285.96</x:v>
      </x:c>
      <x:c r="G115" s="1" t="n">
        <x:v>443</x:v>
      </x:c>
      <x:c r="H115" s="1" t="n">
        <x:v>255</x:v>
      </x:c>
      <x:c r="I115" s="1" t="n">
        <x:v>118</x:v>
      </x:c>
      <x:c r="J115" s="1" t="n">
        <x:v>40</x:v>
      </x:c>
      <x:c r="K115" s="1" t="n">
        <x:v>15</x:v>
      </x:c>
      <x:c r="L115" s="1" t="n">
        <x:v>4</x:v>
      </x:c>
      <x:c r="M115" s="8" t="n">
        <x:f>IF(H115=0,"n.a.",F115/H115)</x:f>
        <x:v>318.76847058823535</x:v>
      </x:c>
      <x:c r="N115" s="8" t="n">
        <x:f>IF(J115=0,"n.a.",F115/J115)</x:f>
        <x:v>2032.1490000000001</x:v>
      </x:c>
      <x:c r="O115" s="8" t="n">
        <x:f>IF(L115=0,"n.a.",F115/L115)</x:f>
        <x:v>20321.49</x:v>
      </x:c>
      <x:c r="P115" s="9" t="n">
        <x:f>IF(G115=0,"n.a.",L115/G115)</x:f>
        <x:v>0.009029345372460496</x:v>
      </x:c>
      <x:c r="Q115" s="1" t="n">
        <x:v>0</x:v>
      </x:c>
    </x:row>
    <x:row r="116">
      <x:c r="A116" s="1" t="str">
        <x:v>C112</x:v>
      </x:c>
      <x:c r="B116" s="1" t="str">
        <x:v>I016</x:v>
      </x:c>
      <x:c r="C116" s="1" t="str">
        <x:v>Display Ads</x:v>
      </x:c>
      <x:c r="D116" s="1" t="str">
        <x:v>2025-12</x:v>
      </x:c>
      <x:c r="E116" s="8" t="n">
        <x:v>135831</x:v>
      </x:c>
      <x:c r="F116" s="8" t="n">
        <x:v>150340.66</x:v>
      </x:c>
      <x:c r="G116" s="1" t="n">
        <x:v>261</x:v>
      </x:c>
      <x:c r="H116" s="1" t="n">
        <x:v>85</x:v>
      </x:c>
      <x:c r="I116" s="1" t="n">
        <x:v>47</x:v>
      </x:c>
      <x:c r="J116" s="1" t="n">
        <x:v>17</x:v>
      </x:c>
      <x:c r="K116" s="1" t="n">
        <x:v>4</x:v>
      </x:c>
      <x:c r="L116" s="1" t="n">
        <x:v>1</x:v>
      </x:c>
      <x:c r="M116" s="8" t="n">
        <x:f>IF(H116=0,"n.a.",F116/H116)</x:f>
        <x:v>1768.7136470588237</x:v>
      </x:c>
      <x:c r="N116" s="8" t="n">
        <x:f>IF(J116=0,"n.a.",F116/J116)</x:f>
        <x:v>8843.568235294118</x:v>
      </x:c>
      <x:c r="O116" s="8" t="n">
        <x:f>IF(L116=0,"n.a.",F116/L116)</x:f>
        <x:v>150340.66</x:v>
      </x:c>
      <x:c r="P116" s="9" t="n">
        <x:f>IF(G116=0,"n.a.",L116/G116)</x:f>
        <x:v>0.0038314176245210726</x:v>
      </x:c>
      <x:c r="Q116" s="1" t="n">
        <x:v>0</x:v>
      </x:c>
    </x:row>
    <x:row r="117">
      <x:c r="A117" s="1" t="str">
        <x:v>C113</x:v>
      </x:c>
      <x:c r="B117" s="1" t="str">
        <x:v>I017</x:v>
      </x:c>
      <x:c r="C117" s="1" t="str">
        <x:v>Google Search</x:v>
      </x:c>
      <x:c r="D117" s="1" t="str">
        <x:v>2025-12</x:v>
      </x:c>
      <x:c r="E117" s="8" t="n">
        <x:v>247754</x:v>
      </x:c>
      <x:c r="F117" s="8" t="n">
        <x:v>274545.68</x:v>
      </x:c>
      <x:c r="G117" s="1" t="n">
        <x:v>224</x:v>
      </x:c>
      <x:c r="H117" s="1" t="n">
        <x:v>107</x:v>
      </x:c>
      <x:c r="I117" s="1" t="n">
        <x:v>48</x:v>
      </x:c>
      <x:c r="J117" s="1" t="n">
        <x:v>22</x:v>
      </x:c>
      <x:c r="K117" s="1" t="n">
        <x:v>6</x:v>
      </x:c>
      <x:c r="L117" s="1" t="n">
        <x:v>1</x:v>
      </x:c>
      <x:c r="M117" s="8" t="n">
        <x:f>IF(H117=0,"n.a.",F117/H117)</x:f>
        <x:v>2565.847476635514</x:v>
      </x:c>
      <x:c r="N117" s="8" t="n">
        <x:f>IF(J117=0,"n.a.",F117/J117)</x:f>
        <x:v>12479.34909090909</x:v>
      </x:c>
      <x:c r="O117" s="8" t="n">
        <x:f>IF(L117=0,"n.a.",F117/L117)</x:f>
        <x:v>274545.68</x:v>
      </x:c>
      <x:c r="P117" s="9" t="n">
        <x:f>IF(G117=0,"n.a.",L117/G117)</x:f>
        <x:v>0.004464285714285714</x:v>
      </x:c>
      <x:c r="Q117" s="1" t="n">
        <x:v>0</x:v>
      </x:c>
    </x:row>
    <x:row r="118">
      <x:c r="A118" s="1" t="str">
        <x:v>C114</x:v>
      </x:c>
      <x:c r="B118" s="1" t="str">
        <x:v>I018</x:v>
      </x:c>
      <x:c r="C118" s="1" t="str">
        <x:v>Meta Ads</x:v>
      </x:c>
      <x:c r="D118" s="1" t="str">
        <x:v>2025-12</x:v>
      </x:c>
      <x:c r="E118" s="8" t="n">
        <x:v>139365</x:v>
      </x:c>
      <x:c r="F118" s="8" t="n">
        <x:v>108789.69</x:v>
      </x:c>
      <x:c r="G118" s="1" t="n">
        <x:v>495</x:v>
      </x:c>
      <x:c r="H118" s="1" t="n">
        <x:v>211</x:v>
      </x:c>
      <x:c r="I118" s="1" t="n">
        <x:v>90</x:v>
      </x:c>
      <x:c r="J118" s="1" t="n">
        <x:v>38</x:v>
      </x:c>
      <x:c r="K118" s="1" t="n">
        <x:v>15</x:v>
      </x:c>
      <x:c r="L118" s="1" t="n">
        <x:v>2</x:v>
      </x:c>
      <x:c r="M118" s="8" t="n">
        <x:f>IF(H118=0,"n.a.",F118/H118)</x:f>
        <x:v>515.5909478672986</x:v>
      </x:c>
      <x:c r="N118" s="8" t="n">
        <x:f>IF(J118=0,"n.a.",F118/J118)</x:f>
        <x:v>2862.8865789473684</x:v>
      </x:c>
      <x:c r="O118" s="8" t="n">
        <x:f>IF(L118=0,"n.a.",F118/L118)</x:f>
        <x:v>54394.845</x:v>
      </x:c>
      <x:c r="P118" s="9" t="n">
        <x:f>IF(G118=0,"n.a.",L118/G118)</x:f>
        <x:v>0.00404040404040404</x:v>
      </x:c>
      <x:c r="Q118" s="1" t="n">
        <x:v>0</x:v>
      </x:c>
    </x:row>
    <x:row r="119">
      <x:c r="A119" s="1" t="str">
        <x:v>C115</x:v>
      </x:c>
      <x:c r="B119" s="1" t="str">
        <x:v>I019</x:v>
      </x:c>
      <x:c r="C119" s="1" t="str">
        <x:v>Organic Search</x:v>
      </x:c>
      <x:c r="D119" s="1" t="str">
        <x:v>2025-12</x:v>
      </x:c>
      <x:c r="E119" s="8" t="n">
        <x:v>203657</x:v>
      </x:c>
      <x:c r="F119" s="8" t="n">
        <x:v>149354.04</x:v>
      </x:c>
      <x:c r="G119" s="1" t="n">
        <x:v>312</x:v>
      </x:c>
      <x:c r="H119" s="1" t="n">
        <x:v>162</x:v>
      </x:c>
      <x:c r="I119" s="1" t="n">
        <x:v>87</x:v>
      </x:c>
      <x:c r="J119" s="1" t="n">
        <x:v>32</x:v>
      </x:c>
      <x:c r="K119" s="1" t="n">
        <x:v>10</x:v>
      </x:c>
      <x:c r="L119" s="1" t="n">
        <x:v>2</x:v>
      </x:c>
      <x:c r="M119" s="8" t="n">
        <x:f>IF(H119=0,"n.a.",F119/H119)</x:f>
        <x:v>921.9385185185185</x:v>
      </x:c>
      <x:c r="N119" s="8" t="n">
        <x:f>IF(J119=0,"n.a.",F119/J119)</x:f>
        <x:v>4667.31375</x:v>
      </x:c>
      <x:c r="O119" s="8" t="n">
        <x:f>IF(L119=0,"n.a.",F119/L119)</x:f>
        <x:v>74677.02</x:v>
      </x:c>
      <x:c r="P119" s="9" t="n">
        <x:f>IF(G119=0,"n.a.",L119/G119)</x:f>
        <x:v>0.00641025641025641</x:v>
      </x:c>
      <x:c r="Q119" s="1" t="n">
        <x:v>0</x:v>
      </x:c>
    </x:row>
    <x:row r="120">
      <x:c r="A120" s="1" t="str">
        <x:v>C116</x:v>
      </x:c>
      <x:c r="B120" s="1" t="str">
        <x:v>I020</x:v>
      </x:c>
      <x:c r="C120" s="1" t="str">
        <x:v>Referral</x:v>
      </x:c>
      <x:c r="D120" s="1" t="str">
        <x:v>2025-12</x:v>
      </x:c>
      <x:c r="E120" s="8" t="n">
        <x:v>206160</x:v>
      </x:c>
      <x:c r="F120" s="8" t="n">
        <x:v>174006.68</x:v>
      </x:c>
      <x:c r="G120" s="1" t="n">
        <x:v>462</x:v>
      </x:c>
      <x:c r="H120" s="1" t="n">
        <x:v>268</x:v>
      </x:c>
      <x:c r="I120" s="1" t="n">
        <x:v>129</x:v>
      </x:c>
      <x:c r="J120" s="1" t="n">
        <x:v>49</x:v>
      </x:c>
      <x:c r="K120" s="1" t="n">
        <x:v>14</x:v>
      </x:c>
      <x:c r="L120" s="1" t="n">
        <x:v>2</x:v>
      </x:c>
      <x:c r="M120" s="8" t="n">
        <x:f>IF(H120=0,"n.a.",F120/H120)</x:f>
        <x:v>649.2786567164179</x:v>
      </x:c>
      <x:c r="N120" s="8" t="n">
        <x:f>IF(J120=0,"n.a.",F120/J120)</x:f>
        <x:v>3551.1567346938773</x:v>
      </x:c>
      <x:c r="O120" s="8" t="n">
        <x:f>IF(L120=0,"n.a.",F120/L120)</x:f>
        <x:v>87003.34</x:v>
      </x:c>
      <x:c r="P120" s="9" t="n">
        <x:f>IF(G120=0,"n.a.",L120/G120)</x:f>
        <x:v>0.004329004329004329</x:v>
      </x:c>
      <x:c r="Q120" s="1" t="n">
        <x:v>0</x:v>
      </x:c>
    </x:row>
    <x:row r="121">
      <x:c r="A121" s="1" t="str">
        <x:v>C117</x:v>
      </x:c>
      <x:c r="B121" s="1" t="str">
        <x:v>I021</x:v>
      </x:c>
      <x:c r="C121" s="1" t="str">
        <x:v>Email</x:v>
      </x:c>
      <x:c r="D121" s="1" t="str">
        <x:v>2025-12</x:v>
      </x:c>
      <x:c r="E121" s="8" t="n">
        <x:v>93117</x:v>
      </x:c>
      <x:c r="F121" s="8" t="n">
        <x:v>92329.12</x:v>
      </x:c>
      <x:c r="G121" s="1" t="n">
        <x:v>482</x:v>
      </x:c>
      <x:c r="H121" s="1" t="n">
        <x:v>214</x:v>
      </x:c>
      <x:c r="I121" s="1" t="n">
        <x:v>110</x:v>
      </x:c>
      <x:c r="J121" s="1" t="n">
        <x:v>31</x:v>
      </x:c>
      <x:c r="K121" s="1" t="n">
        <x:v>6</x:v>
      </x:c>
      <x:c r="L121" s="1" t="n">
        <x:v>0</x:v>
      </x:c>
      <x:c r="M121" s="8" t="n">
        <x:f>IF(H121=0,"n.a.",F121/H121)</x:f>
        <x:v>431.4444859813084</x:v>
      </x:c>
      <x:c r="N121" s="8" t="n">
        <x:f>IF(J121=0,"n.a.",F121/J121)</x:f>
        <x:v>2978.358709677419</x:v>
      </x:c>
      <x:c r="O121" s="8" t="str">
        <x:f>IF(L121=0,"n.a.",F121/L121)</x:f>
        <x:v>n.a.</x:v>
      </x:c>
      <x:c r="P121" s="9" t="n">
        <x:f>IF(G121=0,"n.a.",L121/G121)</x:f>
        <x:v>0</x:v>
      </x:c>
      <x:c r="Q121" s="1" t="n">
        <x:v>0</x:v>
      </x:c>
    </x:row>
    <x:row r="122">
      <x:c r="A122" s="1" t="str">
        <x:v>C118</x:v>
      </x:c>
      <x:c r="B122" s="1" t="str">
        <x:v>I022</x:v>
      </x:c>
      <x:c r="C122" s="1" t="str">
        <x:v>Education webinars</x:v>
      </x:c>
      <x:c r="D122" s="1" t="str">
        <x:v>2025-12</x:v>
      </x:c>
      <x:c r="E122" s="8" t="n">
        <x:v>238547</x:v>
      </x:c>
      <x:c r="F122" s="8" t="n">
        <x:v>188376.26</x:v>
      </x:c>
      <x:c r="G122" s="1" t="n">
        <x:v>582</x:v>
      </x:c>
      <x:c r="H122" s="1" t="n">
        <x:v>319</x:v>
      </x:c>
      <x:c r="I122" s="1" t="n">
        <x:v>155</x:v>
      </x:c>
      <x:c r="J122" s="1" t="n">
        <x:v>69</x:v>
      </x:c>
      <x:c r="K122" s="1" t="n">
        <x:v>22</x:v>
      </x:c>
      <x:c r="L122" s="1" t="n">
        <x:v>3</x:v>
      </x:c>
      <x:c r="M122" s="8" t="n">
        <x:f>IF(H122=0,"n.a.",F122/H122)</x:f>
        <x:v>590.5211912225706</x:v>
      </x:c>
      <x:c r="N122" s="8" t="n">
        <x:f>IF(J122=0,"n.a.",F122/J122)</x:f>
        <x:v>2730.0907246376814</x:v>
      </x:c>
      <x:c r="O122" s="8" t="n">
        <x:f>IF(L122=0,"n.a.",F122/L122)</x:f>
        <x:v>62792.08666666667</x:v>
      </x:c>
      <x:c r="P122" s="9" t="n">
        <x:f>IF(G122=0,"n.a.",L122/G122)</x:f>
        <x:v>0.005154639175257732</x:v>
      </x:c>
      <x:c r="Q122" s="1" t="n">
        <x:v>0</x:v>
      </x:c>
    </x:row>
    <x:row r="123">
      <x:c r="A123" s="1" t="str">
        <x:v>C119</x:v>
      </x:c>
      <x:c r="B123" s="1" t="str">
        <x:v>I023</x:v>
      </x:c>
      <x:c r="C123" s="1" t="str">
        <x:v>Display Ads</x:v>
      </x:c>
      <x:c r="D123" s="1" t="str">
        <x:v>2025-12</x:v>
      </x:c>
      <x:c r="E123" s="8" t="n">
        <x:v>244825</x:v>
      </x:c>
      <x:c r="F123" s="8" t="n">
        <x:v>251385.48</x:v>
      </x:c>
      <x:c r="G123" s="1" t="n">
        <x:v>408</x:v>
      </x:c>
      <x:c r="H123" s="1" t="n">
        <x:v>148</x:v>
      </x:c>
      <x:c r="I123" s="1" t="n">
        <x:v>59</x:v>
      </x:c>
      <x:c r="J123" s="1" t="n">
        <x:v>23</x:v>
      </x:c>
      <x:c r="K123" s="1" t="n">
        <x:v>3</x:v>
      </x:c>
      <x:c r="L123" s="1" t="n">
        <x:v>0</x:v>
      </x:c>
      <x:c r="M123" s="8" t="n">
        <x:f>IF(H123=0,"n.a.",F123/H123)</x:f>
        <x:v>1698.5505405405406</x:v>
      </x:c>
      <x:c r="N123" s="8" t="n">
        <x:f>IF(J123=0,"n.a.",F123/J123)</x:f>
        <x:v>10929.80347826087</x:v>
      </x:c>
      <x:c r="O123" s="8" t="str">
        <x:f>IF(L123=0,"n.a.",F123/L123)</x:f>
        <x:v>n.a.</x:v>
      </x:c>
      <x:c r="P123" s="9" t="n">
        <x:f>IF(G123=0,"n.a.",L123/G123)</x:f>
        <x:v>0</x:v>
      </x:c>
      <x:c r="Q123" s="1" t="n">
        <x:v>0</x:v>
      </x:c>
    </x:row>
    <x:row r="124">
      <x:c r="A124" s="1" t="str">
        <x:v>C120</x:v>
      </x:c>
      <x:c r="B124" s="1" t="str">
        <x:v>I024</x:v>
      </x:c>
      <x:c r="C124" s="1" t="str">
        <x:v>Google Search</x:v>
      </x:c>
      <x:c r="D124" s="1" t="str">
        <x:v>2025-12</x:v>
      </x:c>
      <x:c r="E124" s="8" t="n">
        <x:v>92747</x:v>
      </x:c>
      <x:c r="F124" s="8" t="n">
        <x:v>64564.17</x:v>
      </x:c>
      <x:c r="G124" s="1" t="n">
        <x:v>265</x:v>
      </x:c>
      <x:c r="H124" s="1" t="n">
        <x:v>137</x:v>
      </x:c>
      <x:c r="I124" s="1" t="n">
        <x:v>60</x:v>
      </x:c>
      <x:c r="J124" s="1" t="n">
        <x:v>20</x:v>
      </x:c>
      <x:c r="K124" s="1" t="n">
        <x:v>9</x:v>
      </x:c>
      <x:c r="L124" s="1" t="n">
        <x:v>3</x:v>
      </x:c>
      <x:c r="M124" s="8" t="n">
        <x:f>IF(H124=0,"n.a.",F124/H124)</x:f>
        <x:v>471.2713138686131</x:v>
      </x:c>
      <x:c r="N124" s="8" t="n">
        <x:f>IF(J124=0,"n.a.",F124/J124)</x:f>
        <x:v>3228.2084999999997</x:v>
      </x:c>
      <x:c r="O124" s="8" t="n">
        <x:f>IF(L124=0,"n.a.",F124/L124)</x:f>
        <x:v>21521.39</x:v>
      </x:c>
      <x:c r="P124" s="9" t="n">
        <x:f>IF(G124=0,"n.a.",L124/G124)</x:f>
        <x:v>0.011320754716981131</x:v>
      </x:c>
      <x:c r="Q124" s="1" t="n">
        <x:v>0</x:v>
      </x:c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</x:sheetData>
  <x:mergeCells>
    <x:mergeCell ref="A1:Q1"/>
    <x:mergeCell ref="A2:Q2"/>
  </x:mergeCells>
  <x:conditionalFormatting sqref="O5:O124">
    <x:cfRule type="cellIs" dxfId="0" priority="1" operator="greaterThan">
      <x:formula>5000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fe6d772f534c9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8" customHeight="1">
      <x:c r="A1" s="3" t="str">
        <x:v>Marketing channel performance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4" t="str">
        <x:v>PORTFOLIO SIMULATION · CampusGrowth Analytics · INR · Snapshot 31 Dec 2025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4" customHeight="1">
      <x:c r="A4" s="7" t="str">
        <x:v>Segment</x:v>
      </x:c>
      <x:c r="B4" s="7" t="str">
        <x:v>Spend INR</x:v>
      </x:c>
      <x:c r="C4" s="7" t="str">
        <x:v>Leads</x:v>
      </x:c>
      <x:c r="D4" s="7" t="str">
        <x:v>Qualified</x:v>
      </x:c>
      <x:c r="E4" s="7" t="str">
        <x:v>Completed</x:v>
      </x:c>
      <x:c r="F4" s="7" t="str">
        <x:v>Enrolled</x:v>
      </x:c>
      <x:c r="G4" s="7" t="str">
        <x:v>CPQL INR</x:v>
      </x:c>
      <x:c r="H4" s="7" t="str">
        <x:v>CPA INR</x:v>
      </x:c>
      <x:c r="I4" s="7" t="str">
        <x:v>CPE INR</x:v>
      </x:c>
      <x:c r="J4" s="7" t="str">
        <x:v>Conversion</x:v>
      </x:c>
    </x:row>
    <x:row r="5">
      <x:c r="A5" s="1" t="str">
        <x:v>Display Ads</x:v>
      </x:c>
      <x:c r="B5" s="8" t="n">
        <x:f>SUMIF(Campaigns!$C$5:$C$124,A5,Campaigns!$F$5:$F$124)</x:f>
        <x:v>2687204.4000000004</x:v>
      </x:c>
      <x:c r="C5" s="1" t="n">
        <x:f>SUMIF(Campaigns!$C$5:$C$124,A5,Campaigns!$G$5:$G$124)</x:f>
        <x:v>6497</x:v>
      </x:c>
      <x:c r="D5" s="1" t="n">
        <x:f>SUMIF(Campaigns!$C$5:$C$124,A5,Campaigns!$H$5:$H$124)</x:f>
        <x:v>2670</x:v>
      </x:c>
      <x:c r="E5" s="1" t="n">
        <x:f>SUMIF(Campaigns!$C$5:$C$124,A5,Campaigns!$J$5:$J$124)</x:f>
        <x:v>1203</x:v>
      </x:c>
      <x:c r="F5" s="1" t="n">
        <x:f>SUMIF(Campaigns!$C$5:$C$124,A5,Campaigns!$L$5:$L$124)</x:f>
        <x:v>491</x:v>
      </x:c>
      <x:c r="G5" s="8" t="n">
        <x:f>IF(D5=0,"n.a.",B5/D5)</x:f>
        <x:v>1006.4435955056181</x:v>
      </x:c>
      <x:c r="H5" s="8" t="n">
        <x:f>IF(E5=0,"n.a.",B5/E5)</x:f>
        <x:v>2233.7526184538656</x:v>
      </x:c>
      <x:c r="I5" s="8" t="n">
        <x:f>IF(F5=0,"n.a.",B5/F5)</x:f>
        <x:v>5472.921384928718</x:v>
      </x:c>
      <x:c r="J5" s="9" t="n">
        <x:f>IF(C5=0,"n.a.",F5/C5)</x:f>
        <x:v>0.07557334154225027</x:v>
      </x:c>
    </x:row>
    <x:row r="6">
      <x:c r="A6" s="1" t="str">
        <x:v>Education webinars</x:v>
      </x:c>
      <x:c r="B6" s="8" t="n">
        <x:f>SUMIF(Campaigns!$C$5:$C$124,A6,Campaigns!$F$5:$F$124)</x:f>
        <x:v>2377245.9300000006</x:v>
      </x:c>
      <x:c r="C6" s="1" t="n">
        <x:f>SUMIF(Campaigns!$C$5:$C$124,A6,Campaigns!$G$5:$G$124)</x:f>
        <x:v>6951</x:v>
      </x:c>
      <x:c r="D6" s="1" t="n">
        <x:f>SUMIF(Campaigns!$C$5:$C$124,A6,Campaigns!$H$5:$H$124)</x:f>
        <x:v>4625</x:v>
      </x:c>
      <x:c r="E6" s="1" t="n">
        <x:f>SUMIF(Campaigns!$C$5:$C$124,A6,Campaigns!$J$5:$J$124)</x:f>
        <x:v>2116</x:v>
      </x:c>
      <x:c r="F6" s="1" t="n">
        <x:f>SUMIF(Campaigns!$C$5:$C$124,A6,Campaigns!$L$5:$L$124)</x:f>
        <x:v>873</x:v>
      </x:c>
      <x:c r="G6" s="8" t="n">
        <x:f>IF(D6=0,"n.a.",B6/D6)</x:f>
        <x:v>513.9991200000002</x:v>
      </x:c>
      <x:c r="H6" s="8" t="n">
        <x:f>IF(E6=0,"n.a.",B6/E6)</x:f>
        <x:v>1123.46215973535</x:v>
      </x:c>
      <x:c r="I6" s="8" t="n">
        <x:f>IF(F6=0,"n.a.",B6/F6)</x:f>
        <x:v>2723.0766666666673</x:v>
      </x:c>
      <x:c r="J6" s="9" t="n">
        <x:f>IF(C6=0,"n.a.",F6/C6)</x:f>
        <x:v>0.12559343979283558</x:v>
      </x:c>
    </x:row>
    <x:row r="7">
      <x:c r="A7" s="1" t="str">
        <x:v>Email</x:v>
      </x:c>
      <x:c r="B7" s="8" t="n">
        <x:f>SUMIF(Campaigns!$C$5:$C$124,A7,Campaigns!$F$5:$F$124)</x:f>
        <x:v>2915740.21</x:v>
      </x:c>
      <x:c r="C7" s="1" t="n">
        <x:f>SUMIF(Campaigns!$C$5:$C$124,A7,Campaigns!$G$5:$G$124)</x:f>
        <x:v>7123</x:v>
      </x:c>
      <x:c r="D7" s="1" t="n">
        <x:f>SUMIF(Campaigns!$C$5:$C$124,A7,Campaigns!$H$5:$H$124)</x:f>
        <x:v>3992</x:v>
      </x:c>
      <x:c r="E7" s="1" t="n">
        <x:f>SUMIF(Campaigns!$C$5:$C$124,A7,Campaigns!$J$5:$J$124)</x:f>
        <x:v>1807</x:v>
      </x:c>
      <x:c r="F7" s="1" t="n">
        <x:f>SUMIF(Campaigns!$C$5:$C$124,A7,Campaigns!$L$5:$L$124)</x:f>
        <x:v>744</x:v>
      </x:c>
      <x:c r="G7" s="8" t="n">
        <x:f>IF(D7=0,"n.a.",B7/D7)</x:f>
        <x:v>730.3958441883767</x:v>
      </x:c>
      <x:c r="H7" s="8" t="n">
        <x:f>IF(E7=0,"n.a.",B7/E7)</x:f>
        <x:v>1613.5806364139457</x:v>
      </x:c>
      <x:c r="I7" s="8" t="n">
        <x:f>IF(F7=0,"n.a.",B7/F7)</x:f>
        <x:v>3919.0056586021506</x:v>
      </x:c>
      <x:c r="J7" s="9" t="n">
        <x:f>IF(C7=0,"n.a.",F7/C7)</x:f>
        <x:v>0.10445037203425522</x:v>
      </x:c>
    </x:row>
    <x:row r="8">
      <x:c r="A8" s="1" t="str">
        <x:v>Google Search</x:v>
      </x:c>
      <x:c r="B8" s="8" t="n">
        <x:f>SUMIF(Campaigns!$C$5:$C$124,A8,Campaigns!$F$5:$F$124)</x:f>
        <x:v>2933737.22</x:v>
      </x:c>
      <x:c r="C8" s="1" t="n">
        <x:f>SUMIF(Campaigns!$C$5:$C$124,A8,Campaigns!$G$5:$G$124)</x:f>
        <x:v>7067</x:v>
      </x:c>
      <x:c r="D8" s="1" t="n">
        <x:f>SUMIF(Campaigns!$C$5:$C$124,A8,Campaigns!$H$5:$H$124)</x:f>
        <x:v>4514</x:v>
      </x:c>
      <x:c r="E8" s="1" t="n">
        <x:f>SUMIF(Campaigns!$C$5:$C$124,A8,Campaigns!$J$5:$J$124)</x:f>
        <x:v>2098</x:v>
      </x:c>
      <x:c r="F8" s="1" t="n">
        <x:f>SUMIF(Campaigns!$C$5:$C$124,A8,Campaigns!$L$5:$L$124)</x:f>
        <x:v>852</x:v>
      </x:c>
      <x:c r="G8" s="8" t="n">
        <x:f>IF(D8=0,"n.a.",B8/D8)</x:f>
        <x:v>649.9196322552061</x:v>
      </x:c>
      <x:c r="H8" s="8" t="n">
        <x:f>IF(E8=0,"n.a.",B8/E8)</x:f>
        <x:v>1398.349485224023</x:v>
      </x:c>
      <x:c r="I8" s="8" t="n">
        <x:f>IF(F8=0,"n.a.",B8/F8)</x:f>
        <x:v>3443.353544600939</x:v>
      </x:c>
      <x:c r="J8" s="9" t="n">
        <x:f>IF(C8=0,"n.a.",F8/C8)</x:f>
        <x:v>0.12056035092684307</x:v>
      </x:c>
    </x:row>
    <x:row r="9">
      <x:c r="A9" s="1" t="str">
        <x:v>Meta Ads</x:v>
      </x:c>
      <x:c r="B9" s="8" t="n">
        <x:f>SUMIF(Campaigns!$C$5:$C$124,A9,Campaigns!$F$5:$F$124)</x:f>
        <x:v>2522941.35</x:v>
      </x:c>
      <x:c r="C9" s="1" t="n">
        <x:f>SUMIF(Campaigns!$C$5:$C$124,A9,Campaigns!$G$5:$G$124)</x:f>
        <x:v>7038</x:v>
      </x:c>
      <x:c r="D9" s="1" t="n">
        <x:f>SUMIF(Campaigns!$C$5:$C$124,A9,Campaigns!$H$5:$H$124)</x:f>
        <x:v>3392</x:v>
      </x:c>
      <x:c r="E9" s="1" t="n">
        <x:f>SUMIF(Campaigns!$C$5:$C$124,A9,Campaigns!$J$5:$J$124)</x:f>
        <x:v>1629</x:v>
      </x:c>
      <x:c r="F9" s="1" t="n">
        <x:f>SUMIF(Campaigns!$C$5:$C$124,A9,Campaigns!$L$5:$L$124)</x:f>
        <x:v>663</x:v>
      </x:c>
      <x:c r="G9" s="8" t="n">
        <x:f>IF(D9=0,"n.a.",B9/D9)</x:f>
        <x:v>743.7916715801887</x:v>
      </x:c>
      <x:c r="H9" s="8" t="n">
        <x:f>IF(E9=0,"n.a.",B9/E9)</x:f>
        <x:v>1548.7669429097607</x:v>
      </x:c>
      <x:c r="I9" s="8" t="n">
        <x:f>IF(F9=0,"n.a.",B9/F9)</x:f>
        <x:v>3805.3414027149324</x:v>
      </x:c>
      <x:c r="J9" s="9" t="n">
        <x:f>IF(C9=0,"n.a.",F9/C9)</x:f>
        <x:v>0.09420289855072464</x:v>
      </x:c>
    </x:row>
    <x:row r="10">
      <x:c r="A10" s="1" t="str">
        <x:v>Organic Search</x:v>
      </x:c>
      <x:c r="B10" s="8" t="n">
        <x:f>SUMIF(Campaigns!$C$5:$C$124,A10,Campaigns!$F$5:$F$124)</x:f>
        <x:v>2644828.1799999997</x:v>
      </x:c>
      <x:c r="C10" s="1" t="n">
        <x:f>SUMIF(Campaigns!$C$5:$C$124,A10,Campaigns!$G$5:$G$124)</x:f>
        <x:v>7856</x:v>
      </x:c>
      <x:c r="D10" s="1" t="n">
        <x:f>SUMIF(Campaigns!$C$5:$C$124,A10,Campaigns!$H$5:$H$124)</x:f>
        <x:v>5042</x:v>
      </x:c>
      <x:c r="E10" s="1" t="n">
        <x:f>SUMIF(Campaigns!$C$5:$C$124,A10,Campaigns!$J$5:$J$124)</x:f>
        <x:v>2401</x:v>
      </x:c>
      <x:c r="F10" s="1" t="n">
        <x:f>SUMIF(Campaigns!$C$5:$C$124,A10,Campaigns!$L$5:$L$124)</x:f>
        <x:v>960</x:v>
      </x:c>
      <x:c r="G10" s="8" t="n">
        <x:f>IF(D10=0,"n.a.",B10/D10)</x:f>
        <x:v>524.5593375644585</x:v>
      </x:c>
      <x:c r="H10" s="8" t="n">
        <x:f>IF(E10=0,"n.a.",B10/E10)</x:f>
        <x:v>1101.5527613494376</x:v>
      </x:c>
      <x:c r="I10" s="8" t="n">
        <x:f>IF(F10=0,"n.a.",B10/F10)</x:f>
        <x:v>2755.0293541666665</x:v>
      </x:c>
      <x:c r="J10" s="9" t="n">
        <x:f>IF(C10=0,"n.a.",F10/C10)</x:f>
        <x:v>0.12219959266802444</x:v>
      </x:c>
    </x:row>
    <x:row r="11">
      <x:c r="A11" s="1" t="str">
        <x:v>Referral</x:v>
      </x:c>
      <x:c r="B11" s="8" t="n">
        <x:f>SUMIF(Campaigns!$C$5:$C$124,A11,Campaigns!$F$5:$F$124)</x:f>
        <x:v>2857090.8400000003</x:v>
      </x:c>
      <x:c r="C11" s="1" t="n">
        <x:f>SUMIF(Campaigns!$C$5:$C$124,A11,Campaigns!$G$5:$G$124)</x:f>
        <x:v>7468</x:v>
      </x:c>
      <x:c r="D11" s="1" t="n">
        <x:f>SUMIF(Campaigns!$C$5:$C$124,A11,Campaigns!$H$5:$H$124)</x:f>
        <x:v>5339</x:v>
      </x:c>
      <x:c r="E11" s="1" t="n">
        <x:f>SUMIF(Campaigns!$C$5:$C$124,A11,Campaigns!$J$5:$J$124)</x:f>
        <x:v>2538</x:v>
      </x:c>
      <x:c r="F11" s="1" t="n">
        <x:f>SUMIF(Campaigns!$C$5:$C$124,A11,Campaigns!$L$5:$L$124)</x:f>
        <x:v>1044</x:v>
      </x:c>
      <x:c r="G11" s="8" t="n">
        <x:f>IF(D11=0,"n.a.",B11/D11)</x:f>
        <x:v>535.135950552538</x:v>
      </x:c>
      <x:c r="H11" s="8" t="n">
        <x:f>IF(E11=0,"n.a.",B11/E11)</x:f>
        <x:v>1125.7253112687156</x:v>
      </x:c>
      <x:c r="I11" s="8" t="n">
        <x:f>IF(F11=0,"n.a.",B11/F11)</x:f>
        <x:v>2736.6770498084293</x:v>
      </x:c>
      <x:c r="J11" s="9" t="n">
        <x:f>IF(C11=0,"n.a.",F11/C11)</x:f>
        <x:v>0.1397964649169791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6d35b44546c5495c"/>
  <x:tableParts count="1">
    <x:tablePart xmlns:r="http://schemas.openxmlformats.org/officeDocument/2006/relationships" r:id="Rb0b4738a6ec24d0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8" customHeight="1">
      <x:c r="A1" s="3" t="str">
        <x:v>Student admission funnel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4" t="str">
        <x:v>PORTFOLIO SIMULATION · CampusGrowth Analytics · INR · Snapshot 31 Dec 2025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4" customHeight="1">
      <x:c r="A4" s="7" t="str">
        <x:v>Stage</x:v>
      </x:c>
      <x:c r="B4" s="7" t="str">
        <x:v>Unique students</x:v>
      </x:c>
      <x:c r="C4" s="7" t="str">
        <x:v>Previous-stage rate</x:v>
      </x:c>
      <x:c r="D4" s="7" t="str">
        <x:v>Not progressed</x:v>
      </x:c>
      <x:c r="E4" s="1"/>
      <x:c r="F4" s="1"/>
      <x:c r="G4" s="1"/>
      <x:c r="H4" s="1"/>
      <x:c r="I4" s="1"/>
      <x:c r="J4" s="1"/>
    </x:row>
    <x:row r="5">
      <x:c r="A5" s="1" t="str">
        <x:v>Leads</x:v>
      </x:c>
      <x:c r="B5" s="1" t="n">
        <x:f>SUM(Campaigns!G5:G124)</x:f>
        <x:v>50000</x:v>
      </x:c>
      <x:c r="C5" s="1"/>
      <x:c r="D5" s="1"/>
      <x:c r="E5" s="1"/>
      <x:c r="F5" s="1"/>
      <x:c r="G5" s="1"/>
      <x:c r="H5" s="1"/>
      <x:c r="I5" s="1"/>
      <x:c r="J5" s="1"/>
    </x:row>
    <x:row r="6">
      <x:c r="A6" s="1" t="str">
        <x:v>Qualified leads</x:v>
      </x:c>
      <x:c r="B6" s="1" t="n">
        <x:f>SUM(Campaigns!H5:H124)</x:f>
        <x:v>29574</x:v>
      </x:c>
      <x:c r="C6" s="9" t="n">
        <x:f>IF(B5=0,"n.a.",B6/B5)</x:f>
        <x:v>0.59148</x:v>
      </x:c>
      <x:c r="D6" s="1" t="n">
        <x:f>B5-B6</x:f>
        <x:v>20426</x:v>
      </x:c>
      <x:c r="E6" s="1"/>
      <x:c r="F6" s="1"/>
      <x:c r="G6" s="1"/>
      <x:c r="H6" s="1"/>
      <x:c r="I6" s="1"/>
      <x:c r="J6" s="1"/>
    </x:row>
    <x:row r="7">
      <x:c r="A7" s="1" t="str">
        <x:v>Applications started</x:v>
      </x:c>
      <x:c r="B7" s="1" t="n">
        <x:f>SUM(Campaigns!I5:I124)</x:f>
        <x:v>20115</x:v>
      </x:c>
      <x:c r="C7" s="9" t="n">
        <x:f>IF(B6=0,"n.a.",B7/B6)</x:f>
        <x:v>0.680158247108947</x:v>
      </x:c>
      <x:c r="D7" s="1" t="n">
        <x:f>B6-B7</x:f>
        <x:v>9459</x:v>
      </x:c>
      <x:c r="E7" s="1"/>
      <x:c r="F7" s="1"/>
      <x:c r="G7" s="1"/>
      <x:c r="H7" s="1"/>
      <x:c r="I7" s="1"/>
      <x:c r="J7" s="1"/>
    </x:row>
    <x:row r="8">
      <x:c r="A8" s="1" t="str">
        <x:v>Applications completed</x:v>
      </x:c>
      <x:c r="B8" s="1" t="n">
        <x:f>SUM(Campaigns!J5:J124)</x:f>
        <x:v>13792</x:v>
      </x:c>
      <x:c r="C8" s="9" t="n">
        <x:f>IF(B7=0,"n.a.",B8/B7)</x:f>
        <x:v>0.685657469550087</x:v>
      </x:c>
      <x:c r="D8" s="1" t="n">
        <x:f>B7-B8</x:f>
        <x:v>6323</x:v>
      </x:c>
      <x:c r="E8" s="1"/>
      <x:c r="F8" s="1"/>
      <x:c r="G8" s="1"/>
      <x:c r="H8" s="1"/>
      <x:c r="I8" s="1"/>
      <x:c r="J8" s="1"/>
    </x:row>
    <x:row r="9">
      <x:c r="A9" s="1" t="str">
        <x:v>Admission offers</x:v>
      </x:c>
      <x:c r="B9" s="1" t="n">
        <x:f>SUM(Campaigns!K5:K124)</x:f>
        <x:v>10213</x:v>
      </x:c>
      <x:c r="C9" s="9" t="n">
        <x:f>IF(B8=0,"n.a.",B9/B8)</x:f>
        <x:v>0.7405017401392111</x:v>
      </x:c>
      <x:c r="D9" s="1" t="n">
        <x:f>B8-B9</x:f>
        <x:v>3579</x:v>
      </x:c>
      <x:c r="E9" s="1"/>
      <x:c r="F9" s="1"/>
      <x:c r="G9" s="1"/>
      <x:c r="H9" s="1"/>
      <x:c r="I9" s="1"/>
      <x:c r="J9" s="1"/>
    </x:row>
    <x:row r="10">
      <x:c r="A10" s="1" t="str">
        <x:v>Enrollments</x:v>
      </x:c>
      <x:c r="B10" s="1" t="n">
        <x:f>SUM(Campaigns!L5:L124)</x:f>
        <x:v>5627</x:v>
      </x:c>
      <x:c r="C10" s="9" t="n">
        <x:f>IF(B9=0,"n.a.",B10/B9)</x:f>
        <x:v>0.5509644570645256</x:v>
      </x:c>
      <x:c r="D10" s="1" t="n">
        <x:f>B9-B10</x:f>
        <x:v>4586</x:v>
      </x:c>
      <x:c r="E10" s="1"/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 t="str">
        <x:v>Recent cohorts remain incomplete; stage gaps are not all final losses.</x:v>
      </x:c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294c1d29d24e4f96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8" customHeight="1">
      <x:c r="A1" s="3" t="str">
        <x:v>Institution performance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4" t="str">
        <x:v>PORTFOLIO SIMULATION · CampusGrowth Analytics · INR · Snapshot 31 Dec 2025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4" customHeight="1">
      <x:c r="A4" s="7" t="str">
        <x:v>Segment</x:v>
      </x:c>
      <x:c r="B4" s="7" t="str">
        <x:v>Spend INR</x:v>
      </x:c>
      <x:c r="C4" s="7" t="str">
        <x:v>Leads</x:v>
      </x:c>
      <x:c r="D4" s="7" t="str">
        <x:v>Qualified</x:v>
      </x:c>
      <x:c r="E4" s="7" t="str">
        <x:v>Completed</x:v>
      </x:c>
      <x:c r="F4" s="7" t="str">
        <x:v>Enrolled</x:v>
      </x:c>
      <x:c r="G4" s="7" t="str">
        <x:v>CPQL INR</x:v>
      </x:c>
      <x:c r="H4" s="7" t="str">
        <x:v>CPA INR</x:v>
      </x:c>
      <x:c r="I4" s="7" t="str">
        <x:v>CPE INR</x:v>
      </x:c>
      <x:c r="J4" s="7" t="str">
        <x:v>Conversion</x:v>
      </x:c>
    </x:row>
    <x:row r="5">
      <x:c r="A5" s="1" t="str">
        <x:v>I001</x:v>
      </x:c>
      <x:c r="B5" s="8" t="n">
        <x:f>SUMIF(Campaigns!$B$5:$B$124,A5,Campaigns!$F$5:$F$124)</x:f>
        <x:v>769337.73</x:v>
      </x:c>
      <x:c r="C5" s="1" t="n">
        <x:f>SUMIF(Campaigns!$B$5:$B$124,A5,Campaigns!$G$5:$G$124)</x:f>
        <x:v>1775</x:v>
      </x:c>
      <x:c r="D5" s="1" t="n">
        <x:f>SUMIF(Campaigns!$B$5:$B$124,A5,Campaigns!$H$5:$H$124)</x:f>
        <x:v>1222</x:v>
      </x:c>
      <x:c r="E5" s="1" t="n">
        <x:f>SUMIF(Campaigns!$B$5:$B$124,A5,Campaigns!$J$5:$J$124)</x:f>
        <x:v>571</x:v>
      </x:c>
      <x:c r="F5" s="1" t="n">
        <x:f>SUMIF(Campaigns!$B$5:$B$124,A5,Campaigns!$L$5:$L$124)</x:f>
        <x:v>243</x:v>
      </x:c>
      <x:c r="G5" s="8" t="n">
        <x:f>IF(D5=0,"n.a.",B5/D5)</x:f>
        <x:v>629.5726104746317</x:v>
      </x:c>
      <x:c r="H5" s="8" t="n">
        <x:f>IF(E5=0,"n.a.",B5/E5)</x:f>
        <x:v>1347.351541155867</x:v>
      </x:c>
      <x:c r="I5" s="8" t="n">
        <x:f>IF(F5=0,"n.a.",B5/F5)</x:f>
        <x:v>3165.998888888889</x:v>
      </x:c>
      <x:c r="J5" s="9" t="n">
        <x:f>IF(C5=0,"n.a.",F5/C5)</x:f>
        <x:v>0.13690140845070423</x:v>
      </x:c>
    </x:row>
    <x:row r="6">
      <x:c r="A6" s="1" t="str">
        <x:v>I002</x:v>
      </x:c>
      <x:c r="B6" s="8" t="n">
        <x:f>SUMIF(Campaigns!$B$5:$B$124,A6,Campaigns!$F$5:$F$124)</x:f>
        <x:v>844243.4300000002</x:v>
      </x:c>
      <x:c r="C6" s="1" t="n">
        <x:f>SUMIF(Campaigns!$B$5:$B$124,A6,Campaigns!$G$5:$G$124)</x:f>
        <x:v>2029</x:v>
      </x:c>
      <x:c r="D6" s="1" t="n">
        <x:f>SUMIF(Campaigns!$B$5:$B$124,A6,Campaigns!$H$5:$H$124)</x:f>
        <x:v>1184</x:v>
      </x:c>
      <x:c r="E6" s="1" t="n">
        <x:f>SUMIF(Campaigns!$B$5:$B$124,A6,Campaigns!$J$5:$J$124)</x:f>
        <x:v>539</x:v>
      </x:c>
      <x:c r="F6" s="1" t="n">
        <x:f>SUMIF(Campaigns!$B$5:$B$124,A6,Campaigns!$L$5:$L$124)</x:f>
        <x:v>244</x:v>
      </x:c>
      <x:c r="G6" s="8" t="n">
        <x:f>IF(D6=0,"n.a.",B6/D6)</x:f>
        <x:v>713.0434375000001</x:v>
      </x:c>
      <x:c r="H6" s="8" t="n">
        <x:f>IF(E6=0,"n.a.",B6/E6)</x:f>
        <x:v>1566.314341372913</x:v>
      </x:c>
      <x:c r="I6" s="8" t="n">
        <x:f>IF(F6=0,"n.a.",B6/F6)</x:f>
        <x:v>3460.01405737705</x:v>
      </x:c>
      <x:c r="J6" s="9" t="n">
        <x:f>IF(C6=0,"n.a.",F6/C6)</x:f>
        <x:v>0.12025628388368655</x:v>
      </x:c>
    </x:row>
    <x:row r="7">
      <x:c r="A7" s="1" t="str">
        <x:v>I003</x:v>
      </x:c>
      <x:c r="B7" s="8" t="n">
        <x:f>SUMIF(Campaigns!$B$5:$B$124,A7,Campaigns!$F$5:$F$124)</x:f>
        <x:v>802452.79</x:v>
      </x:c>
      <x:c r="C7" s="1" t="n">
        <x:f>SUMIF(Campaigns!$B$5:$B$124,A7,Campaigns!$G$5:$G$124)</x:f>
        <x:v>1812</x:v>
      </x:c>
      <x:c r="D7" s="1" t="n">
        <x:f>SUMIF(Campaigns!$B$5:$B$124,A7,Campaigns!$H$5:$H$124)</x:f>
        <x:v>1079</x:v>
      </x:c>
      <x:c r="E7" s="1" t="n">
        <x:f>SUMIF(Campaigns!$B$5:$B$124,A7,Campaigns!$J$5:$J$124)</x:f>
        <x:v>496</x:v>
      </x:c>
      <x:c r="F7" s="1" t="n">
        <x:f>SUMIF(Campaigns!$B$5:$B$124,A7,Campaigns!$L$5:$L$124)</x:f>
        <x:v>243</x:v>
      </x:c>
      <x:c r="G7" s="8" t="n">
        <x:f>IF(D7=0,"n.a.",B7/D7)</x:f>
        <x:v>743.7004541241892</x:v>
      </x:c>
      <x:c r="H7" s="8" t="n">
        <x:f>IF(E7=0,"n.a.",B7/E7)</x:f>
        <x:v>1617.848366935484</x:v>
      </x:c>
      <x:c r="I7" s="8" t="n">
        <x:f>IF(F7=0,"n.a.",B7/F7)</x:f>
        <x:v>3302.2748559670786</x:v>
      </x:c>
      <x:c r="J7" s="9" t="n">
        <x:f>IF(C7=0,"n.a.",F7/C7)</x:f>
        <x:v>0.13410596026490065</x:v>
      </x:c>
    </x:row>
    <x:row r="8">
      <x:c r="A8" s="1" t="str">
        <x:v>I004</x:v>
      </x:c>
      <x:c r="B8" s="8" t="n">
        <x:f>SUMIF(Campaigns!$B$5:$B$124,A8,Campaigns!$F$5:$F$124)</x:f>
        <x:v>887971.46</x:v>
      </x:c>
      <x:c r="C8" s="1" t="n">
        <x:f>SUMIF(Campaigns!$B$5:$B$124,A8,Campaigns!$G$5:$G$124)</x:f>
        <x:v>1941</x:v>
      </x:c>
      <x:c r="D8" s="1" t="n">
        <x:f>SUMIF(Campaigns!$B$5:$B$124,A8,Campaigns!$H$5:$H$124)</x:f>
        <x:v>1151</x:v>
      </x:c>
      <x:c r="E8" s="1" t="n">
        <x:f>SUMIF(Campaigns!$B$5:$B$124,A8,Campaigns!$J$5:$J$124)</x:f>
        <x:v>526</x:v>
      </x:c>
      <x:c r="F8" s="1" t="n">
        <x:f>SUMIF(Campaigns!$B$5:$B$124,A8,Campaigns!$L$5:$L$124)</x:f>
        <x:v>213</x:v>
      </x:c>
      <x:c r="G8" s="8" t="n">
        <x:f>IF(D8=0,"n.a.",B8/D8)</x:f>
        <x:v>771.478245004344</x:v>
      </x:c>
      <x:c r="H8" s="8" t="n">
        <x:f>IF(E8=0,"n.a.",B8/E8)</x:f>
        <x:v>1688.1586692015208</x:v>
      </x:c>
      <x:c r="I8" s="8" t="n">
        <x:f>IF(F8=0,"n.a.",B8/F8)</x:f>
        <x:v>4168.880093896713</x:v>
      </x:c>
      <x:c r="J8" s="9" t="n">
        <x:f>IF(C8=0,"n.a.",F8/C8)</x:f>
        <x:v>0.10973724884080371</x:v>
      </x:c>
    </x:row>
    <x:row r="9">
      <x:c r="A9" s="1" t="str">
        <x:v>I005</x:v>
      </x:c>
      <x:c r="B9" s="8" t="n">
        <x:f>SUMIF(Campaigns!$B$5:$B$124,A9,Campaigns!$F$5:$F$124)</x:f>
        <x:v>845967.0900000001</x:v>
      </x:c>
      <x:c r="C9" s="1" t="n">
        <x:f>SUMIF(Campaigns!$B$5:$B$124,A9,Campaigns!$G$5:$G$124)</x:f>
        <x:v>2760</x:v>
      </x:c>
      <x:c r="D9" s="1" t="n">
        <x:f>SUMIF(Campaigns!$B$5:$B$124,A9,Campaigns!$H$5:$H$124)</x:f>
        <x:v>1643</x:v>
      </x:c>
      <x:c r="E9" s="1" t="n">
        <x:f>SUMIF(Campaigns!$B$5:$B$124,A9,Campaigns!$J$5:$J$124)</x:f>
        <x:v>761</x:v>
      </x:c>
      <x:c r="F9" s="1" t="n">
        <x:f>SUMIF(Campaigns!$B$5:$B$124,A9,Campaigns!$L$5:$L$124)</x:f>
        <x:v>308</x:v>
      </x:c>
      <x:c r="G9" s="8" t="n">
        <x:f>IF(D9=0,"n.a.",B9/D9)</x:f>
        <x:v>514.8917163724894</x:v>
      </x:c>
      <x:c r="H9" s="8" t="n">
        <x:f>IF(E9=0,"n.a.",B9/E9)</x:f>
        <x:v>1111.6518922470434</x:v>
      </x:c>
      <x:c r="I9" s="8" t="n">
        <x:f>IF(F9=0,"n.a.",B9/F9)</x:f>
        <x:v>2746.646396103896</x:v>
      </x:c>
      <x:c r="J9" s="9" t="n">
        <x:f>IF(C9=0,"n.a.",F9/C9)</x:f>
        <x:v>0.11159420289855072</x:v>
      </x:c>
    </x:row>
    <x:row r="10">
      <x:c r="A10" s="1" t="str">
        <x:v>I006</x:v>
      </x:c>
      <x:c r="B10" s="8" t="n">
        <x:f>SUMIF(Campaigns!$B$5:$B$124,A10,Campaigns!$F$5:$F$124)</x:f>
        <x:v>993491.0199999999</x:v>
      </x:c>
      <x:c r="C10" s="1" t="n">
        <x:f>SUMIF(Campaigns!$B$5:$B$124,A10,Campaigns!$G$5:$G$124)</x:f>
        <x:v>2271</x:v>
      </x:c>
      <x:c r="D10" s="1" t="n">
        <x:f>SUMIF(Campaigns!$B$5:$B$124,A10,Campaigns!$H$5:$H$124)</x:f>
        <x:v>1368</x:v>
      </x:c>
      <x:c r="E10" s="1" t="n">
        <x:f>SUMIF(Campaigns!$B$5:$B$124,A10,Campaigns!$J$5:$J$124)</x:f>
        <x:v>691</x:v>
      </x:c>
      <x:c r="F10" s="1" t="n">
        <x:f>SUMIF(Campaigns!$B$5:$B$124,A10,Campaigns!$L$5:$L$124)</x:f>
        <x:v>278</x:v>
      </x:c>
      <x:c r="G10" s="8" t="n">
        <x:f>IF(D10=0,"n.a.",B10/D10)</x:f>
        <x:v>726.2361257309941</x:v>
      </x:c>
      <x:c r="H10" s="8" t="n">
        <x:f>IF(E10=0,"n.a.",B10/E10)</x:f>
        <x:v>1437.7583502170767</x:v>
      </x:c>
      <x:c r="I10" s="8" t="n">
        <x:f>IF(F10=0,"n.a.",B10/F10)</x:f>
        <x:v>3573.708705035971</x:v>
      </x:c>
      <x:c r="J10" s="9" t="n">
        <x:f>IF(C10=0,"n.a.",F10/C10)</x:f>
        <x:v>0.12241303390576838</x:v>
      </x:c>
    </x:row>
    <x:row r="11">
      <x:c r="A11" s="1" t="str">
        <x:v>I007</x:v>
      </x:c>
      <x:c r="B11" s="8" t="n">
        <x:f>SUMIF(Campaigns!$B$5:$B$124,A11,Campaigns!$F$5:$F$124)</x:f>
        <x:v>802093.99</x:v>
      </x:c>
      <x:c r="C11" s="1" t="n">
        <x:f>SUMIF(Campaigns!$B$5:$B$124,A11,Campaigns!$G$5:$G$124)</x:f>
        <x:v>1691</x:v>
      </x:c>
      <x:c r="D11" s="1" t="n">
        <x:f>SUMIF(Campaigns!$B$5:$B$124,A11,Campaigns!$H$5:$H$124)</x:f>
        <x:v>901</x:v>
      </x:c>
      <x:c r="E11" s="1" t="n">
        <x:f>SUMIF(Campaigns!$B$5:$B$124,A11,Campaigns!$J$5:$J$124)</x:f>
        <x:v>463</x:v>
      </x:c>
      <x:c r="F11" s="1" t="n">
        <x:f>SUMIF(Campaigns!$B$5:$B$124,A11,Campaigns!$L$5:$L$124)</x:f>
        <x:v>194</x:v>
      </x:c>
      <x:c r="G11" s="8" t="n">
        <x:f>IF(D11=0,"n.a.",B11/D11)</x:f>
        <x:v>890.2264039955605</x:v>
      </x:c>
      <x:c r="H11" s="8" t="n">
        <x:f>IF(E11=0,"n.a.",B11/E11)</x:f>
        <x:v>1732.3844276457883</x:v>
      </x:c>
      <x:c r="I11" s="8" t="n">
        <x:f>IF(F11=0,"n.a.",B11/F11)</x:f>
        <x:v>4134.505103092783</x:v>
      </x:c>
      <x:c r="J11" s="9" t="n">
        <x:f>IF(C11=0,"n.a.",F11/C11)</x:f>
        <x:v>0.11472501478415138</x:v>
      </x:c>
    </x:row>
    <x:row r="12">
      <x:c r="A12" s="1" t="str">
        <x:v>I008</x:v>
      </x:c>
      <x:c r="B12" s="8" t="n">
        <x:f>SUMIF(Campaigns!$B$5:$B$124,A12,Campaigns!$F$5:$F$124)</x:f>
        <x:v>673377.28</x:v>
      </x:c>
      <x:c r="C12" s="1" t="n">
        <x:f>SUMIF(Campaigns!$B$5:$B$124,A12,Campaigns!$G$5:$G$124)</x:f>
        <x:v>2066</x:v>
      </x:c>
      <x:c r="D12" s="1" t="n">
        <x:f>SUMIF(Campaigns!$B$5:$B$124,A12,Campaigns!$H$5:$H$124)</x:f>
        <x:v>1279</x:v>
      </x:c>
      <x:c r="E12" s="1" t="n">
        <x:f>SUMIF(Campaigns!$B$5:$B$124,A12,Campaigns!$J$5:$J$124)</x:f>
        <x:v>703</x:v>
      </x:c>
      <x:c r="F12" s="1" t="n">
        <x:f>SUMIF(Campaigns!$B$5:$B$124,A12,Campaigns!$L$5:$L$124)</x:f>
        <x:v>273</x:v>
      </x:c>
      <x:c r="G12" s="8" t="n">
        <x:f>IF(D12=0,"n.a.",B12/D12)</x:f>
        <x:v>526.4873182173574</x:v>
      </x:c>
      <x:c r="H12" s="8" t="n">
        <x:f>IF(E12=0,"n.a.",B12/E12)</x:f>
        <x:v>957.8624182076815</x:v>
      </x:c>
      <x:c r="I12" s="8" t="n">
        <x:f>IF(F12=0,"n.a.",B12/F12)</x:f>
        <x:v>2466.5834432234433</x:v>
      </x:c>
      <x:c r="J12" s="9" t="n">
        <x:f>IF(C12=0,"n.a.",F12/C12)</x:f>
        <x:v>0.13213939980638917</x:v>
      </x:c>
    </x:row>
    <x:row r="13">
      <x:c r="A13" s="1" t="str">
        <x:v>I009</x:v>
      </x:c>
      <x:c r="B13" s="8" t="n">
        <x:f>SUMIF(Campaigns!$B$5:$B$124,A13,Campaigns!$F$5:$F$124)</x:f>
        <x:v>714668.24</x:v>
      </x:c>
      <x:c r="C13" s="1" t="n">
        <x:f>SUMIF(Campaigns!$B$5:$B$124,A13,Campaigns!$G$5:$G$124)</x:f>
        <x:v>2070</x:v>
      </x:c>
      <x:c r="D13" s="1" t="n">
        <x:f>SUMIF(Campaigns!$B$5:$B$124,A13,Campaigns!$H$5:$H$124)</x:f>
        <x:v>1211</x:v>
      </x:c>
      <x:c r="E13" s="1" t="n">
        <x:f>SUMIF(Campaigns!$B$5:$B$124,A13,Campaigns!$J$5:$J$124)</x:f>
        <x:v>569</x:v>
      </x:c>
      <x:c r="F13" s="1" t="n">
        <x:f>SUMIF(Campaigns!$B$5:$B$124,A13,Campaigns!$L$5:$L$124)</x:f>
        <x:v>237</x:v>
      </x:c>
      <x:c r="G13" s="8" t="n">
        <x:f>IF(D13=0,"n.a.",B13/D13)</x:f>
        <x:v>590.1471841453344</x:v>
      </x:c>
      <x:c r="H13" s="8" t="n">
        <x:f>IF(E13=0,"n.a.",B13/E13)</x:f>
        <x:v>1256.0074516695959</x:v>
      </x:c>
      <x:c r="I13" s="8" t="n">
        <x:f>IF(F13=0,"n.a.",B13/F13)</x:f>
        <x:v>3015.4778059071728</x:v>
      </x:c>
      <x:c r="J13" s="9" t="n">
        <x:f>IF(C13=0,"n.a.",F13/C13)</x:f>
        <x:v>0.1144927536231884</x:v>
      </x:c>
    </x:row>
    <x:row r="14">
      <x:c r="A14" s="1" t="str">
        <x:v>I010</x:v>
      </x:c>
      <x:c r="B14" s="8" t="n">
        <x:f>SUMIF(Campaigns!$B$5:$B$124,A14,Campaigns!$F$5:$F$124)</x:f>
        <x:v>856499.04</x:v>
      </x:c>
      <x:c r="C14" s="1" t="n">
        <x:f>SUMIF(Campaigns!$B$5:$B$124,A14,Campaigns!$G$5:$G$124)</x:f>
        <x:v>2522</x:v>
      </x:c>
      <x:c r="D14" s="1" t="n">
        <x:f>SUMIF(Campaigns!$B$5:$B$124,A14,Campaigns!$H$5:$H$124)</x:f>
        <x:v>1488</x:v>
      </x:c>
      <x:c r="E14" s="1" t="n">
        <x:f>SUMIF(Campaigns!$B$5:$B$124,A14,Campaigns!$J$5:$J$124)</x:f>
        <x:v>705</x:v>
      </x:c>
      <x:c r="F14" s="1" t="n">
        <x:f>SUMIF(Campaigns!$B$5:$B$124,A14,Campaigns!$L$5:$L$124)</x:f>
        <x:v>284</x:v>
      </x:c>
      <x:c r="G14" s="8" t="n">
        <x:f>IF(D14=0,"n.a.",B14/D14)</x:f>
        <x:v>575.6041935483871</x:v>
      </x:c>
      <x:c r="H14" s="8" t="n">
        <x:f>IF(E14=0,"n.a.",B14/E14)</x:f>
        <x:v>1214.892255319149</x:v>
      </x:c>
      <x:c r="I14" s="8" t="n">
        <x:f>IF(F14=0,"n.a.",B14/F14)</x:f>
        <x:v>3015.841690140845</x:v>
      </x:c>
      <x:c r="J14" s="9" t="n">
        <x:f>IF(C14=0,"n.a.",F14/C14)</x:f>
        <x:v>0.11260904044409199</x:v>
      </x:c>
    </x:row>
    <x:row r="15">
      <x:c r="A15" s="1" t="str">
        <x:v>I011</x:v>
      </x:c>
      <x:c r="B15" s="8" t="n">
        <x:f>SUMIF(Campaigns!$B$5:$B$124,A15,Campaigns!$F$5:$F$124)</x:f>
        <x:v>748471.29</x:v>
      </x:c>
      <x:c r="C15" s="1" t="n">
        <x:f>SUMIF(Campaigns!$B$5:$B$124,A15,Campaigns!$G$5:$G$124)</x:f>
        <x:v>2095</x:v>
      </x:c>
      <x:c r="D15" s="1" t="n">
        <x:f>SUMIF(Campaigns!$B$5:$B$124,A15,Campaigns!$H$5:$H$124)</x:f>
        <x:v>1211</x:v>
      </x:c>
      <x:c r="E15" s="1" t="n">
        <x:f>SUMIF(Campaigns!$B$5:$B$124,A15,Campaigns!$J$5:$J$124)</x:f>
        <x:v>599</x:v>
      </x:c>
      <x:c r="F15" s="1" t="n">
        <x:f>SUMIF(Campaigns!$B$5:$B$124,A15,Campaigns!$L$5:$L$124)</x:f>
        <x:v>222</x:v>
      </x:c>
      <x:c r="G15" s="8" t="n">
        <x:f>IF(D15=0,"n.a.",B15/D15)</x:f>
        <x:v>618.0605202312139</x:v>
      </x:c>
      <x:c r="H15" s="8" t="n">
        <x:f>IF(E15=0,"n.a.",B15/E15)</x:f>
        <x:v>1249.5347078464108</x:v>
      </x:c>
      <x:c r="I15" s="8" t="n">
        <x:f>IF(F15=0,"n.a.",B15/F15)</x:f>
        <x:v>3371.4922972972977</x:v>
      </x:c>
      <x:c r="J15" s="9" t="n">
        <x:f>IF(C15=0,"n.a.",F15/C15)</x:f>
        <x:v>0.10596658711217184</x:v>
      </x:c>
    </x:row>
    <x:row r="16">
      <x:c r="A16" s="1" t="str">
        <x:v>I012</x:v>
      </x:c>
      <x:c r="B16" s="8" t="n">
        <x:f>SUMIF(Campaigns!$B$5:$B$124,A16,Campaigns!$F$5:$F$124)</x:f>
        <x:v>888666.64</x:v>
      </x:c>
      <x:c r="C16" s="1" t="n">
        <x:f>SUMIF(Campaigns!$B$5:$B$124,A16,Campaigns!$G$5:$G$124)</x:f>
        <x:v>2225</x:v>
      </x:c>
      <x:c r="D16" s="1" t="n">
        <x:f>SUMIF(Campaigns!$B$5:$B$124,A16,Campaigns!$H$5:$H$124)</x:f>
        <x:v>1348</x:v>
      </x:c>
      <x:c r="E16" s="1" t="n">
        <x:f>SUMIF(Campaigns!$B$5:$B$124,A16,Campaigns!$J$5:$J$124)</x:f>
        <x:v>626</x:v>
      </x:c>
      <x:c r="F16" s="1" t="n">
        <x:f>SUMIF(Campaigns!$B$5:$B$124,A16,Campaigns!$L$5:$L$124)</x:f>
        <x:v>250</x:v>
      </x:c>
      <x:c r="G16" s="8" t="n">
        <x:f>IF(D16=0,"n.a.",B16/D16)</x:f>
        <x:v>659.2482492581603</x:v>
      </x:c>
      <x:c r="H16" s="8" t="n">
        <x:f>IF(E16=0,"n.a.",B16/E16)</x:f>
        <x:v>1419.5952715654953</x:v>
      </x:c>
      <x:c r="I16" s="8" t="n">
        <x:f>IF(F16=0,"n.a.",B16/F16)</x:f>
        <x:v>3554.66656</x:v>
      </x:c>
      <x:c r="J16" s="9" t="n">
        <x:f>IF(C16=0,"n.a.",F16/C16)</x:f>
        <x:v>0.11235955056179775</x:v>
      </x:c>
    </x:row>
    <x:row r="17">
      <x:c r="A17" s="1" t="str">
        <x:v>I013</x:v>
      </x:c>
      <x:c r="B17" s="8" t="n">
        <x:f>SUMIF(Campaigns!$B$5:$B$124,A17,Campaigns!$F$5:$F$124)</x:f>
        <x:v>903778.96</x:v>
      </x:c>
      <x:c r="C17" s="1" t="n">
        <x:f>SUMIF(Campaigns!$B$5:$B$124,A17,Campaigns!$G$5:$G$124)</x:f>
        <x:v>1916</x:v>
      </x:c>
      <x:c r="D17" s="1" t="n">
        <x:f>SUMIF(Campaigns!$B$5:$B$124,A17,Campaigns!$H$5:$H$124)</x:f>
        <x:v>1223</x:v>
      </x:c>
      <x:c r="E17" s="1" t="n">
        <x:f>SUMIF(Campaigns!$B$5:$B$124,A17,Campaigns!$J$5:$J$124)</x:f>
        <x:v>586</x:v>
      </x:c>
      <x:c r="F17" s="1" t="n">
        <x:f>SUMIF(Campaigns!$B$5:$B$124,A17,Campaigns!$L$5:$L$124)</x:f>
        <x:v>230</x:v>
      </x:c>
      <x:c r="G17" s="8" t="n">
        <x:f>IF(D17=0,"n.a.",B17/D17)</x:f>
        <x:v>738.9852493867538</x:v>
      </x:c>
      <x:c r="H17" s="8" t="n">
        <x:f>IF(E17=0,"n.a.",B17/E17)</x:f>
        <x:v>1542.2849146757678</x:v>
      </x:c>
      <x:c r="I17" s="8" t="n">
        <x:f>IF(F17=0,"n.a.",B17/F17)</x:f>
        <x:v>3929.4737391304348</x:v>
      </x:c>
      <x:c r="J17" s="9" t="n">
        <x:f>IF(C17=0,"n.a.",F17/C17)</x:f>
        <x:v>0.12004175365344467</x:v>
      </x:c>
    </x:row>
    <x:row r="18">
      <x:c r="A18" s="1" t="str">
        <x:v>I014</x:v>
      </x:c>
      <x:c r="B18" s="8" t="n">
        <x:f>SUMIF(Campaigns!$B$5:$B$124,A18,Campaigns!$F$5:$F$124)</x:f>
        <x:v>670739.3599999999</x:v>
      </x:c>
      <x:c r="C18" s="1" t="n">
        <x:f>SUMIF(Campaigns!$B$5:$B$124,A18,Campaigns!$G$5:$G$124)</x:f>
        <x:v>2088</x:v>
      </x:c>
      <x:c r="D18" s="1" t="n">
        <x:f>SUMIF(Campaigns!$B$5:$B$124,A18,Campaigns!$H$5:$H$124)</x:f>
        <x:v>1160</x:v>
      </x:c>
      <x:c r="E18" s="1" t="n">
        <x:f>SUMIF(Campaigns!$B$5:$B$124,A18,Campaigns!$J$5:$J$124)</x:f>
        <x:v>527</x:v>
      </x:c>
      <x:c r="F18" s="1" t="n">
        <x:f>SUMIF(Campaigns!$B$5:$B$124,A18,Campaigns!$L$5:$L$124)</x:f>
        <x:v>214</x:v>
      </x:c>
      <x:c r="G18" s="8" t="n">
        <x:f>IF(D18=0,"n.a.",B18/D18)</x:f>
        <x:v>578.2235862068965</x:v>
      </x:c>
      <x:c r="H18" s="8" t="n">
        <x:f>IF(E18=0,"n.a.",B18/E18)</x:f>
        <x:v>1272.7502087286525</x:v>
      </x:c>
      <x:c r="I18" s="8" t="n">
        <x:f>IF(F18=0,"n.a.",B18/F18)</x:f>
        <x:v>3134.2960747663546</x:v>
      </x:c>
      <x:c r="J18" s="9" t="n">
        <x:f>IF(C18=0,"n.a.",F18/C18)</x:f>
        <x:v>0.1024904214559387</x:v>
      </x:c>
    </x:row>
    <x:row r="19">
      <x:c r="A19" s="1" t="str">
        <x:v>I015</x:v>
      </x:c>
      <x:c r="B19" s="8" t="n">
        <x:f>SUMIF(Campaigns!$B$5:$B$124,A19,Campaigns!$F$5:$F$124)</x:f>
        <x:v>602680.62</x:v>
      </x:c>
      <x:c r="C19" s="1" t="n">
        <x:f>SUMIF(Campaigns!$B$5:$B$124,A19,Campaigns!$G$5:$G$124)</x:f>
        <x:v>1875</x:v>
      </x:c>
      <x:c r="D19" s="1" t="n">
        <x:f>SUMIF(Campaigns!$B$5:$B$124,A19,Campaigns!$H$5:$H$124)</x:f>
        <x:v>1122</x:v>
      </x:c>
      <x:c r="E19" s="1" t="n">
        <x:f>SUMIF(Campaigns!$B$5:$B$124,A19,Campaigns!$J$5:$J$124)</x:f>
        <x:v>436</x:v>
      </x:c>
      <x:c r="F19" s="1" t="n">
        <x:f>SUMIF(Campaigns!$B$5:$B$124,A19,Campaigns!$L$5:$L$124)</x:f>
        <x:v>188</x:v>
      </x:c>
      <x:c r="G19" s="8" t="n">
        <x:f>IF(D19=0,"n.a.",B19/D19)</x:f>
        <x:v>537.1485026737968</x:v>
      </x:c>
      <x:c r="H19" s="8" t="n">
        <x:f>IF(E19=0,"n.a.",B19/E19)</x:f>
        <x:v>1382.295</x:v>
      </x:c>
      <x:c r="I19" s="8" t="n">
        <x:f>IF(F19=0,"n.a.",B19/F19)</x:f>
        <x:v>3205.7479787234042</x:v>
      </x:c>
      <x:c r="J19" s="9" t="n">
        <x:f>IF(C19=0,"n.a.",F19/C19)</x:f>
        <x:v>0.10026666666666667</x:v>
      </x:c>
    </x:row>
    <x:row r="20">
      <x:c r="A20" s="1" t="str">
        <x:v>I016</x:v>
      </x:c>
      <x:c r="B20" s="8" t="n">
        <x:f>SUMIF(Campaigns!$B$5:$B$124,A20,Campaigns!$F$5:$F$124)</x:f>
        <x:v>888205.3099999999</x:v>
      </x:c>
      <x:c r="C20" s="1" t="n">
        <x:f>SUMIF(Campaigns!$B$5:$B$124,A20,Campaigns!$G$5:$G$124)</x:f>
        <x:v>1778</x:v>
      </x:c>
      <x:c r="D20" s="1" t="n">
        <x:f>SUMIF(Campaigns!$B$5:$B$124,A20,Campaigns!$H$5:$H$124)</x:f>
        <x:v>968</x:v>
      </x:c>
      <x:c r="E20" s="1" t="n">
        <x:f>SUMIF(Campaigns!$B$5:$B$124,A20,Campaigns!$J$5:$J$124)</x:f>
        <x:v>428</x:v>
      </x:c>
      <x:c r="F20" s="1" t="n">
        <x:f>SUMIF(Campaigns!$B$5:$B$124,A20,Campaigns!$L$5:$L$124)</x:f>
        <x:v>172</x:v>
      </x:c>
      <x:c r="G20" s="8" t="n">
        <x:f>IF(D20=0,"n.a.",B20/D20)</x:f>
        <x:v>917.5674690082644</x:v>
      </x:c>
      <x:c r="H20" s="8" t="n">
        <x:f>IF(E20=0,"n.a.",B20/E20)</x:f>
        <x:v>2075.246051401869</x:v>
      </x:c>
      <x:c r="I20" s="8" t="n">
        <x:f>IF(F20=0,"n.a.",B20/F20)</x:f>
        <x:v>5163.984360465116</x:v>
      </x:c>
      <x:c r="J20" s="9" t="n">
        <x:f>IF(C20=0,"n.a.",F20/C20)</x:f>
        <x:v>0.09673790776152981</x:v>
      </x:c>
    </x:row>
    <x:row r="21">
      <x:c r="A21" s="1" t="str">
        <x:v>I017</x:v>
      </x:c>
      <x:c r="B21" s="8" t="n">
        <x:f>SUMIF(Campaigns!$B$5:$B$124,A21,Campaigns!$F$5:$F$124)</x:f>
        <x:v>940564.97</x:v>
      </x:c>
      <x:c r="C21" s="1" t="n">
        <x:f>SUMIF(Campaigns!$B$5:$B$124,A21,Campaigns!$G$5:$G$124)</x:f>
        <x:v>2127</x:v>
      </x:c>
      <x:c r="D21" s="1" t="n">
        <x:f>SUMIF(Campaigns!$B$5:$B$124,A21,Campaigns!$H$5:$H$124)</x:f>
        <x:v>1284</x:v>
      </x:c>
      <x:c r="E21" s="1" t="n">
        <x:f>SUMIF(Campaigns!$B$5:$B$124,A21,Campaigns!$J$5:$J$124)</x:f>
        <x:v>598</x:v>
      </x:c>
      <x:c r="F21" s="1" t="n">
        <x:f>SUMIF(Campaigns!$B$5:$B$124,A21,Campaigns!$L$5:$L$124)</x:f>
        <x:v>236</x:v>
      </x:c>
      <x:c r="G21" s="8" t="n">
        <x:f>IF(D21=0,"n.a.",B21/D21)</x:f>
        <x:v>732.5272352024922</x:v>
      </x:c>
      <x:c r="H21" s="8" t="n">
        <x:f>IF(E21=0,"n.a.",B21/E21)</x:f>
        <x:v>1572.8511204013378</x:v>
      </x:c>
      <x:c r="I21" s="8" t="n">
        <x:f>IF(F21=0,"n.a.",B21/F21)</x:f>
        <x:v>3985.444788135593</x:v>
      </x:c>
      <x:c r="J21" s="9" t="n">
        <x:f>IF(C21=0,"n.a.",F21/C21)</x:f>
        <x:v>0.11095439586271744</x:v>
      </x:c>
    </x:row>
    <x:row r="22">
      <x:c r="A22" s="1" t="str">
        <x:v>I018</x:v>
      </x:c>
      <x:c r="B22" s="8" t="n">
        <x:f>SUMIF(Campaigns!$B$5:$B$124,A22,Campaigns!$F$5:$F$124)</x:f>
        <x:v>573232.86</x:v>
      </x:c>
      <x:c r="C22" s="1" t="n">
        <x:f>SUMIF(Campaigns!$B$5:$B$124,A22,Campaigns!$G$5:$G$124)</x:f>
        <x:v>1965</x:v>
      </x:c>
      <x:c r="D22" s="1" t="n">
        <x:f>SUMIF(Campaigns!$B$5:$B$124,A22,Campaigns!$H$5:$H$124)</x:f>
        <x:v>1148</x:v>
      </x:c>
      <x:c r="E22" s="1" t="n">
        <x:f>SUMIF(Campaigns!$B$5:$B$124,A22,Campaigns!$J$5:$J$124)</x:f>
        <x:v>520</x:v>
      </x:c>
      <x:c r="F22" s="1" t="n">
        <x:f>SUMIF(Campaigns!$B$5:$B$124,A22,Campaigns!$L$5:$L$124)</x:f>
        <x:v>190</x:v>
      </x:c>
      <x:c r="G22" s="8" t="n">
        <x:f>IF(D22=0,"n.a.",B22/D22)</x:f>
        <x:v>499.3317595818815</x:v>
      </x:c>
      <x:c r="H22" s="8" t="n">
        <x:f>IF(E22=0,"n.a.",B22/E22)</x:f>
        <x:v>1102.3708846153845</x:v>
      </x:c>
      <x:c r="I22" s="8" t="n">
        <x:f>IF(F22=0,"n.a.",B22/F22)</x:f>
        <x:v>3017.015052631579</x:v>
      </x:c>
      <x:c r="J22" s="9" t="n">
        <x:f>IF(C22=0,"n.a.",F22/C22)</x:f>
        <x:v>0.09669211195928754</x:v>
      </x:c>
    </x:row>
    <x:row r="23">
      <x:c r="A23" s="1" t="str">
        <x:v>I019</x:v>
      </x:c>
      <x:c r="B23" s="8" t="n">
        <x:f>SUMIF(Campaigns!$B$5:$B$124,A23,Campaigns!$F$5:$F$124)</x:f>
        <x:v>595983.9400000001</x:v>
      </x:c>
      <x:c r="C23" s="1" t="n">
        <x:f>SUMIF(Campaigns!$B$5:$B$124,A23,Campaigns!$G$5:$G$124)</x:f>
        <x:v>2200</x:v>
      </x:c>
      <x:c r="D23" s="1" t="n">
        <x:f>SUMIF(Campaigns!$B$5:$B$124,A23,Campaigns!$H$5:$H$124)</x:f>
        <x:v>1223</x:v>
      </x:c>
      <x:c r="E23" s="1" t="n">
        <x:f>SUMIF(Campaigns!$B$5:$B$124,A23,Campaigns!$J$5:$J$124)</x:f>
        <x:v>626</x:v>
      </x:c>
      <x:c r="F23" s="1" t="n">
        <x:f>SUMIF(Campaigns!$B$5:$B$124,A23,Campaigns!$L$5:$L$124)</x:f>
        <x:v>253</x:v>
      </x:c>
      <x:c r="G23" s="8" t="n">
        <x:f>IF(D23=0,"n.a.",B23/D23)</x:f>
        <x:v>487.3131152902699</x:v>
      </x:c>
      <x:c r="H23" s="8" t="n">
        <x:f>IF(E23=0,"n.a.",B23/E23)</x:f>
        <x:v>952.0510223642174</x:v>
      </x:c>
      <x:c r="I23" s="8" t="n">
        <x:f>IF(F23=0,"n.a.",B23/F23)</x:f>
        <x:v>2355.6677470355735</x:v>
      </x:c>
      <x:c r="J23" s="9" t="n">
        <x:f>IF(C23=0,"n.a.",F23/C23)</x:f>
        <x:v>0.115</x:v>
      </x:c>
    </x:row>
    <x:row r="24">
      <x:c r="A24" s="1" t="str">
        <x:v>I020</x:v>
      </x:c>
      <x:c r="B24" s="8" t="n">
        <x:f>SUMIF(Campaigns!$B$5:$B$124,A24,Campaigns!$F$5:$F$124)</x:f>
        <x:v>893895.4099999999</x:v>
      </x:c>
      <x:c r="C24" s="1" t="n">
        <x:f>SUMIF(Campaigns!$B$5:$B$124,A24,Campaigns!$G$5:$G$124)</x:f>
        <x:v>2156</x:v>
      </x:c>
      <x:c r="D24" s="1" t="n">
        <x:f>SUMIF(Campaigns!$B$5:$B$124,A24,Campaigns!$H$5:$H$124)</x:f>
        <x:v>1325</x:v>
      </x:c>
      <x:c r="E24" s="1" t="n">
        <x:f>SUMIF(Campaigns!$B$5:$B$124,A24,Campaigns!$J$5:$J$124)</x:f>
        <x:v>592</x:v>
      </x:c>
      <x:c r="F24" s="1" t="n">
        <x:f>SUMIF(Campaigns!$B$5:$B$124,A24,Campaigns!$L$5:$L$124)</x:f>
        <x:v>233</x:v>
      </x:c>
      <x:c r="G24" s="8" t="n">
        <x:f>IF(D24=0,"n.a.",B24/D24)</x:f>
        <x:v>674.6380452830188</x:v>
      </x:c>
      <x:c r="H24" s="8" t="n">
        <x:f>IF(E24=0,"n.a.",B24/E24)</x:f>
        <x:v>1509.9584628378377</x:v>
      </x:c>
      <x:c r="I24" s="8" t="n">
        <x:f>IF(F24=0,"n.a.",B24/F24)</x:f>
        <x:v>3836.4609871244634</x:v>
      </x:c>
      <x:c r="J24" s="9" t="n">
        <x:f>IF(C24=0,"n.a.",F24/C24)</x:f>
        <x:v>0.10807050092764378</x:v>
      </x:c>
    </x:row>
    <x:row r="25">
      <x:c r="A25" s="1" t="str">
        <x:v>I021</x:v>
      </x:c>
      <x:c r="B25" s="8" t="n">
        <x:f>SUMIF(Campaigns!$B$5:$B$124,A25,Campaigns!$F$5:$F$124)</x:f>
        <x:v>630932.1</x:v>
      </x:c>
      <x:c r="C25" s="1" t="n">
        <x:f>SUMIF(Campaigns!$B$5:$B$124,A25,Campaigns!$G$5:$G$124)</x:f>
        <x:v>1955</x:v>
      </x:c>
      <x:c r="D25" s="1" t="n">
        <x:f>SUMIF(Campaigns!$B$5:$B$124,A25,Campaigns!$H$5:$H$124)</x:f>
        <x:v>1084</x:v>
      </x:c>
      <x:c r="E25" s="1" t="n">
        <x:f>SUMIF(Campaigns!$B$5:$B$124,A25,Campaigns!$J$5:$J$124)</x:f>
        <x:v>511</x:v>
      </x:c>
      <x:c r="F25" s="1" t="n">
        <x:f>SUMIF(Campaigns!$B$5:$B$124,A25,Campaigns!$L$5:$L$124)</x:f>
        <x:v>219</x:v>
      </x:c>
      <x:c r="G25" s="8" t="n">
        <x:f>IF(D25=0,"n.a.",B25/D25)</x:f>
        <x:v>582.0406826568266</x:v>
      </x:c>
      <x:c r="H25" s="8" t="n">
        <x:f>IF(E25=0,"n.a.",B25/E25)</x:f>
        <x:v>1234.700782778865</x:v>
      </x:c>
      <x:c r="I25" s="8" t="n">
        <x:f>IF(F25=0,"n.a.",B25/F25)</x:f>
        <x:v>2880.968493150685</x:v>
      </x:c>
      <x:c r="J25" s="9" t="n">
        <x:f>IF(C25=0,"n.a.",F25/C25)</x:f>
        <x:v>0.11202046035805627</x:v>
      </x:c>
    </x:row>
    <x:row r="26">
      <x:c r="A26" s="1" t="str">
        <x:v>I022</x:v>
      </x:c>
      <x:c r="B26" s="8" t="n">
        <x:f>SUMIF(Campaigns!$B$5:$B$124,A26,Campaigns!$F$5:$F$124)</x:f>
        <x:v>917379.57</x:v>
      </x:c>
      <x:c r="C26" s="1" t="n">
        <x:f>SUMIF(Campaigns!$B$5:$B$124,A26,Campaigns!$G$5:$G$124)</x:f>
        <x:v>2365</x:v>
      </x:c>
      <x:c r="D26" s="1" t="n">
        <x:f>SUMIF(Campaigns!$B$5:$B$124,A26,Campaigns!$H$5:$H$124)</x:f>
        <x:v>1452</x:v>
      </x:c>
      <x:c r="E26" s="1" t="n">
        <x:f>SUMIF(Campaigns!$B$5:$B$124,A26,Campaigns!$J$5:$J$124)</x:f>
        <x:v>656</x:v>
      </x:c>
      <x:c r="F26" s="1" t="n">
        <x:f>SUMIF(Campaigns!$B$5:$B$124,A26,Campaigns!$L$5:$L$124)</x:f>
        <x:v>255</x:v>
      </x:c>
      <x:c r="G26" s="8" t="n">
        <x:f>IF(D26=0,"n.a.",B26/D26)</x:f>
        <x:v>631.8041115702479</x:v>
      </x:c>
      <x:c r="H26" s="8" t="n">
        <x:f>IF(E26=0,"n.a.",B26/E26)</x:f>
        <x:v>1398.4444664634145</x:v>
      </x:c>
      <x:c r="I26" s="8" t="n">
        <x:f>IF(F26=0,"n.a.",B26/F26)</x:f>
        <x:v>3597.56694117647</x:v>
      </x:c>
      <x:c r="J26" s="9" t="n">
        <x:f>IF(C26=0,"n.a.",F26/C26)</x:f>
        <x:v>0.10782241014799154</x:v>
      </x:c>
    </x:row>
    <x:row r="27">
      <x:c r="A27" s="1" t="str">
        <x:v>I023</x:v>
      </x:c>
      <x:c r="B27" s="8" t="n">
        <x:f>SUMIF(Campaigns!$B$5:$B$124,A27,Campaigns!$F$5:$F$124)</x:f>
        <x:v>863971.88</x:v>
      </x:c>
      <x:c r="C27" s="1" t="n">
        <x:f>SUMIF(Campaigns!$B$5:$B$124,A27,Campaigns!$G$5:$G$124)</x:f>
        <x:v>2130</x:v>
      </x:c>
      <x:c r="D27" s="1" t="n">
        <x:f>SUMIF(Campaigns!$B$5:$B$124,A27,Campaigns!$H$5:$H$124)</x:f>
        <x:v>1213</x:v>
      </x:c>
      <x:c r="E27" s="1" t="n">
        <x:f>SUMIF(Campaigns!$B$5:$B$124,A27,Campaigns!$J$5:$J$124)</x:f>
        <x:v>534</x:v>
      </x:c>
      <x:c r="F27" s="1" t="n">
        <x:f>SUMIF(Campaigns!$B$5:$B$124,A27,Campaigns!$L$5:$L$124)</x:f>
        <x:v>213</x:v>
      </x:c>
      <x:c r="G27" s="8" t="n">
        <x:f>IF(D27=0,"n.a.",B27/D27)</x:f>
        <x:v>712.2604122011542</x:v>
      </x:c>
      <x:c r="H27" s="8" t="n">
        <x:f>IF(E27=0,"n.a.",B27/E27)</x:f>
        <x:v>1617.9248689138576</x:v>
      </x:c>
      <x:c r="I27" s="8" t="n">
        <x:f>IF(F27=0,"n.a.",B27/F27)</x:f>
        <x:v>4056.206009389671</x:v>
      </x:c>
      <x:c r="J27" s="9" t="n">
        <x:f>IF(C27=0,"n.a.",F27/C27)</x:f>
        <x:v>0.1</x:v>
      </x:c>
    </x:row>
    <x:row r="28">
      <x:c r="A28" s="1" t="str">
        <x:v>I024</x:v>
      </x:c>
      <x:c r="B28" s="8" t="n">
        <x:f>SUMIF(Campaigns!$B$5:$B$124,A28,Campaigns!$F$5:$F$124)</x:f>
        <x:v>630183.15</x:v>
      </x:c>
      <x:c r="C28" s="1" t="n">
        <x:f>SUMIF(Campaigns!$B$5:$B$124,A28,Campaigns!$G$5:$G$124)</x:f>
        <x:v>2188</x:v>
      </x:c>
      <x:c r="D28" s="1" t="n">
        <x:f>SUMIF(Campaigns!$B$5:$B$124,A28,Campaigns!$H$5:$H$124)</x:f>
        <x:v>1287</x:v>
      </x:c>
      <x:c r="E28" s="1" t="n">
        <x:f>SUMIF(Campaigns!$B$5:$B$124,A28,Campaigns!$J$5:$J$124)</x:f>
        <x:v>529</x:v>
      </x:c>
      <x:c r="F28" s="1" t="n">
        <x:f>SUMIF(Campaigns!$B$5:$B$124,A28,Campaigns!$L$5:$L$124)</x:f>
        <x:v>235</x:v>
      </x:c>
      <x:c r="G28" s="8" t="n">
        <x:f>IF(D28=0,"n.a.",B28/D28)</x:f>
        <x:v>489.6527972027972</x:v>
      </x:c>
      <x:c r="H28" s="8" t="n">
        <x:f>IF(E28=0,"n.a.",B28/E28)</x:f>
        <x:v>1191.272495274102</x:v>
      </x:c>
      <x:c r="I28" s="8" t="n">
        <x:f>IF(F28=0,"n.a.",B28/F28)</x:f>
        <x:v>2681.630425531915</x:v>
      </x:c>
      <x:c r="J28" s="9" t="n">
        <x:f>IF(C28=0,"n.a.",F28/C28)</x:f>
        <x:v>0.10740402193784278</x:v>
      </x:c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1a48e1736f0244c1"/>
  <x:tableParts count="1">
    <x:tablePart xmlns:r="http://schemas.openxmlformats.org/officeDocument/2006/relationships" r:id="R70a07fd46bc54ea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8" customHeight="1">
      <x:c r="A1" s="3" t="str">
        <x:v>Geographic student conversion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4" t="str">
        <x:v>PORTFOLIO SIMULATION · CampusGrowth Analytics · INR · Snapshot 31 Dec 2025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4" customHeight="1">
      <x:c r="A4" s="7" t="str">
        <x:v>Market</x:v>
      </x:c>
      <x:c r="B4" s="7" t="str">
        <x:v>Leads</x:v>
      </x:c>
      <x:c r="C4" s="7" t="str">
        <x:v>Completed</x:v>
      </x:c>
      <x:c r="D4" s="7" t="str">
        <x:v>Enrolled</x:v>
      </x:c>
      <x:c r="E4" s="7" t="str">
        <x:v>Conversion</x:v>
      </x:c>
      <x:c r="F4" s="1"/>
      <x:c r="G4" s="1"/>
      <x:c r="H4" s="1"/>
      <x:c r="I4" s="1"/>
      <x:c r="J4" s="1"/>
    </x:row>
    <x:row r="5">
      <x:c r="A5" s="1" t="str">
        <x:v>Delhi NCR</x:v>
      </x:c>
      <x:c r="B5" s="1" t="n">
        <x:v>6172</x:v>
      </x:c>
      <x:c r="C5" s="1" t="n">
        <x:v>1677</x:v>
      </x:c>
      <x:c r="D5" s="1" t="n">
        <x:v>661</x:v>
      </x:c>
      <x:c r="E5" s="9" t="n">
        <x:f>IF(B5=0,"n.a.",D5/B5)</x:f>
        <x:v>0.10709656513285806</x:v>
      </x:c>
      <x:c r="F5" s="1"/>
      <x:c r="G5" s="1"/>
      <x:c r="H5" s="1"/>
      <x:c r="I5" s="1"/>
      <x:c r="J5" s="1"/>
    </x:row>
    <x:row r="6">
      <x:c r="A6" s="1" t="str">
        <x:v>Karnataka</x:v>
      </x:c>
      <x:c r="B6" s="1" t="n">
        <x:v>6190</x:v>
      </x:c>
      <x:c r="C6" s="1" t="n">
        <x:v>1733</x:v>
      </x:c>
      <x:c r="D6" s="1" t="n">
        <x:v>726</x:v>
      </x:c>
      <x:c r="E6" s="9" t="n">
        <x:f>IF(B6=0,"n.a.",D6/B6)</x:f>
        <x:v>0.1172859450726979</x:v>
      </x:c>
      <x:c r="F6" s="1"/>
      <x:c r="G6" s="1"/>
      <x:c r="H6" s="1"/>
      <x:c r="I6" s="1"/>
      <x:c r="J6" s="1"/>
    </x:row>
    <x:row r="7">
      <x:c r="A7" s="1" t="str">
        <x:v>Maharashtra</x:v>
      </x:c>
      <x:c r="B7" s="1" t="n">
        <x:v>6227</x:v>
      </x:c>
      <x:c r="C7" s="1" t="n">
        <x:v>1726</x:v>
      </x:c>
      <x:c r="D7" s="1" t="n">
        <x:v>705</x:v>
      </x:c>
      <x:c r="E7" s="9" t="n">
        <x:f>IF(B7=0,"n.a.",D7/B7)</x:f>
        <x:v>0.11321663722498795</x:v>
      </x:c>
      <x:c r="F7" s="1"/>
      <x:c r="G7" s="1"/>
      <x:c r="H7" s="1"/>
      <x:c r="I7" s="1"/>
      <x:c r="J7" s="1"/>
    </x:row>
    <x:row r="8">
      <x:c r="A8" s="1" t="str">
        <x:v>Rajasthan</x:v>
      </x:c>
      <x:c r="B8" s="1" t="n">
        <x:v>6285</x:v>
      </x:c>
      <x:c r="C8" s="1" t="n">
        <x:v>1776</x:v>
      </x:c>
      <x:c r="D8" s="1" t="n">
        <x:v>721</x:v>
      </x:c>
      <x:c r="E8" s="9" t="n">
        <x:f>IF(B8=0,"n.a.",D8/B8)</x:f>
        <x:v>0.1147175815433572</x:v>
      </x:c>
      <x:c r="F8" s="1"/>
      <x:c r="G8" s="1"/>
      <x:c r="H8" s="1"/>
      <x:c r="I8" s="1"/>
      <x:c r="J8" s="1"/>
    </x:row>
    <x:row r="9">
      <x:c r="A9" s="1" t="str">
        <x:v>Tamil Nadu</x:v>
      </x:c>
      <x:c r="B9" s="1" t="n">
        <x:v>6293</x:v>
      </x:c>
      <x:c r="C9" s="1" t="n">
        <x:v>1735</x:v>
      </x:c>
      <x:c r="D9" s="1" t="n">
        <x:v>697</x:v>
      </x:c>
      <x:c r="E9" s="9" t="n">
        <x:f>IF(B9=0,"n.a.",D9/B9)</x:f>
        <x:v>0.11075798506276816</x:v>
      </x:c>
      <x:c r="F9" s="1"/>
      <x:c r="G9" s="1"/>
      <x:c r="H9" s="1"/>
      <x:c r="I9" s="1"/>
      <x:c r="J9" s="1"/>
    </x:row>
    <x:row r="10">
      <x:c r="A10" s="1" t="str">
        <x:v>Telangana</x:v>
      </x:c>
      <x:c r="B10" s="1" t="n">
        <x:v>6288</x:v>
      </x:c>
      <x:c r="C10" s="1" t="n">
        <x:v>1714</x:v>
      </x:c>
      <x:c r="D10" s="1" t="n">
        <x:v>689</x:v>
      </x:c>
      <x:c r="E10" s="9" t="n">
        <x:f>IF(B10=0,"n.a.",D10/B10)</x:f>
        <x:v>0.10957379134860051</x:v>
      </x:c>
      <x:c r="F10" s="1"/>
      <x:c r="G10" s="1"/>
      <x:c r="H10" s="1"/>
      <x:c r="I10" s="1"/>
      <x:c r="J10" s="1"/>
    </x:row>
    <x:row r="11">
      <x:c r="A11" s="1" t="str">
        <x:v>Uttar Pradesh</x:v>
      </x:c>
      <x:c r="B11" s="1" t="n">
        <x:v>6398</x:v>
      </x:c>
      <x:c r="C11" s="1" t="n">
        <x:v>1710</x:v>
      </x:c>
      <x:c r="D11" s="1" t="n">
        <x:v>730</x:v>
      </x:c>
      <x:c r="E11" s="9" t="n">
        <x:f>IF(B11=0,"n.a.",D11/B11)</x:f>
        <x:v>0.11409815567364802</x:v>
      </x:c>
      <x:c r="F11" s="1"/>
      <x:c r="G11" s="1"/>
      <x:c r="H11" s="1"/>
      <x:c r="I11" s="1"/>
      <x:c r="J11" s="1"/>
    </x:row>
    <x:row r="12">
      <x:c r="A12" s="1" t="str">
        <x:v>West Bengal</x:v>
      </x:c>
      <x:c r="B12" s="1" t="n">
        <x:v>6147</x:v>
      </x:c>
      <x:c r="C12" s="1" t="n">
        <x:v>1721</x:v>
      </x:c>
      <x:c r="D12" s="1" t="n">
        <x:v>698</x:v>
      </x:c>
      <x:c r="E12" s="9" t="n">
        <x:f>IF(B12=0,"n.a.",D12/B12)</x:f>
        <x:v>0.11355132585000813</x:v>
      </x:c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 t="str">
        <x:v>No geographic cost allocation: delivery-grain costs are unavailable.</x:v>
      </x:c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a896d8909a4549f7"/>
  <x:tableParts count="1">
    <x:tablePart xmlns:r="http://schemas.openxmlformats.org/officeDocument/2006/relationships" r:id="R54660766678e424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8" customHeight="1">
      <x:c r="A1" s="3" t="str">
        <x:v>Budget scenarios | Mature historical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4" t="str">
        <x:v>PORTFOLIO SIMULATION · CampusGrowth Analytics · INR · Snapshot 31 Dec 2025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 t="str">
        <x:v>Budget INR</x:v>
      </x:c>
      <x:c r="B4" s="13" t="n">
        <x:v>1000000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 t="str">
        <x:v>Minimum share</x:v>
      </x:c>
      <x:c r="B5" s="12" t="n">
        <x:v>0.05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" t="str">
        <x:v>Maximum share</x:v>
      </x:c>
      <x:c r="B6" s="12" t="n">
        <x:v>0.25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>
      <x:c r="A7" s="1" t="str">
        <x:v>Scenario</x:v>
      </x:c>
      <x:c r="B7" s="11" t="str">
        <x:v>Base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1" t="str">
        <x:v>Conservative multiplier</x:v>
      </x:c>
      <x:c r="B8" s="11" t="n">
        <x:v>1.25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A9" s="1" t="str">
        <x:v>Base multiplier</x:v>
      </x:c>
      <x:c r="B9" s="11" t="n">
        <x:v>1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>
      <x:c r="A10" s="1" t="str">
        <x:v>Optimistic multiplier</x:v>
      </x:c>
      <x:c r="B10" s="11" t="n">
        <x:v>0.85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>
      <x:c r="A11" s="1" t="str">
        <x:v>Active cost multiplier</x:v>
      </x:c>
      <x:c r="B11" s="1" t="n">
        <x:f>IF(B7="Conservative",B8,IF(B7="Base",B9,B10))</x:f>
        <x:v>1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A12" s="1" t="str">
        <x:v>Constraint status</x:v>
      </x:c>
      <x:c r="B12" s="1" t="str">
        <x:f>IF(AND(B4&gt;=0.01,B5&gt;=0,B6&lt;=1,B5&lt;=B6,7*ROUNDUP(ROUND(B4*100,0)*B5,0)&lt;=ROUND(B4*100,0),7*ROUNDDOWN(ROUND(B4*100,0)*B6,0)&gt;=ROUND(B4*100,0),B11&gt;0),"OK","INVALID")</x:f>
        <x:v>OK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40" customHeight="1">
      <x:c r="A15" s="15" t="str">
        <x:v>Channel (CPE rank)</x:v>
      </x:c>
      <x:c r="B15" s="15" t="str">
        <x:v>Historical budget</x:v>
      </x:c>
      <x:c r="C15" s="15" t="str">
        <x:v>Spend INR</x:v>
      </x:c>
      <x:c r="D15" s="15" t="str">
        <x:v>Qualified</x:v>
      </x:c>
      <x:c r="E15" s="15" t="str">
        <x:v>Completed</x:v>
      </x:c>
      <x:c r="F15" s="15" t="str">
        <x:v>Enrolled</x:v>
      </x:c>
      <x:c r="G15" s="15" t="str">
        <x:v>CPQL INR</x:v>
      </x:c>
      <x:c r="H15" s="15" t="str">
        <x:v>CPA INR</x:v>
      </x:c>
      <x:c r="I15" s="15" t="str">
        <x:v>CPE INR</x:v>
      </x:c>
      <x:c r="J15" s="15" t="str">
        <x:v>Allocation INR</x:v>
      </x:c>
      <x:c r="K15" s="15" t="str">
        <x:v>Modeled enrolled</x:v>
      </x:c>
      <x:c r="L15" s="15" t="str">
        <x:v>Current share</x:v>
      </x:c>
      <x:c r="M15" s="15" t="str">
        <x:v>New share</x:v>
      </x:c>
    </x:row>
    <x:row r="16">
      <x:c r="A16" s="1" t="str">
        <x:v>Referral</x:v>
      </x:c>
      <x:c r="B16" s="8" t="n">
        <x:f>SUMIFS(Campaigns!$E$5:$E$124,Campaigns!$C$5:$C$124,A16,Campaigns!$Q$5:$Q$124,1)</x:f>
        <x:v>2390488</x:v>
      </x:c>
      <x:c r="C16" s="8" t="n">
        <x:f>SUMIFS(Campaigns!$F$5:$F$124,Campaigns!$C$5:$C$124,A16,Campaigns!$Q$5:$Q$124,1)</x:f>
        <x:v>2102955.05</x:v>
      </x:c>
      <x:c r="D16" s="1" t="n">
        <x:f>SUMIFS(Campaigns!$H$5:$H$124,Campaigns!$C$5:$C$124,A16,Campaigns!$Q$5:$Q$124,1)</x:f>
        <x:v>4186</x:v>
      </x:c>
      <x:c r="E16" s="1" t="n">
        <x:f>SUMIFS(Campaigns!$J$5:$J$124,Campaigns!$C$5:$C$124,A16,Campaigns!$Q$5:$Q$124,1)</x:f>
        <x:v>2046</x:v>
      </x:c>
      <x:c r="F16" s="1" t="n">
        <x:f>SUMIFS(Campaigns!$L$5:$L$124,Campaigns!$C$5:$C$124,A16,Campaigns!$Q$5:$Q$124,1)</x:f>
        <x:v>894</x:v>
      </x:c>
      <x:c r="G16" s="8" t="n">
        <x:f>IF(D16=0,"n.a.",C16/D16)</x:f>
        <x:v>502.37817725752507</x:v>
      </x:c>
      <x:c r="H16" s="8" t="n">
        <x:f>IF(E16=0,"n.a.",C16/E16)</x:f>
        <x:v>1027.837267839687</x:v>
      </x:c>
      <x:c r="I16" s="8" t="n">
        <x:f>IF(F16=0,"n.a.",C16/F16)</x:f>
        <x:v>2352.298713646532</x:v>
      </x:c>
      <x:c r="J16" s="8" t="n">
        <x:f>IF($B$12="OK",MIN(ROUNDDOWN(ROUND($B$4*100,0)*$B$6,0),ROUND($B$4*100,0)-0-6*ROUNDUP(ROUND($B$4*100,0)*$B$5,0))/100,0)</x:f>
        <x:v>250000</x:v>
      </x:c>
      <x:c r="K16" s="16" t="n">
        <x:f>IF($B$12="OK",J16/(I16*$B$11),0)</x:f>
        <x:v>106.27901913547797</x:v>
      </x:c>
      <x:c r="L16" s="9" t="n">
        <x:f>B16/SUM(B$16:B$22)</x:f>
        <x:v>0.1498078276471248</x:v>
      </x:c>
      <x:c r="M16" s="9" t="n">
        <x:f>IF($B$12="OK",J16/ROUND($B$4,2),0)</x:f>
        <x:v>0.25</x:v>
      </x:c>
    </x:row>
    <x:row r="17">
      <x:c r="A17" s="1" t="str">
        <x:v>Education webinars</x:v>
      </x:c>
      <x:c r="B17" s="8" t="n">
        <x:f>SUMIFS(Campaigns!$E$5:$E$124,Campaigns!$C$5:$C$124,A17,Campaigns!$Q$5:$Q$124,1)</x:f>
        <x:v>2061069</x:v>
      </x:c>
      <x:c r="C17" s="8" t="n">
        <x:f>SUMIFS(Campaigns!$F$5:$F$124,Campaigns!$C$5:$C$124,A17,Campaigns!$Q$5:$Q$124,1)</x:f>
        <x:v>1882662.3600000003</x:v>
      </x:c>
      <x:c r="D17" s="1" t="n">
        <x:f>SUMIFS(Campaigns!$H$5:$H$124,Campaigns!$C$5:$C$124,A17,Campaigns!$Q$5:$Q$124,1)</x:f>
        <x:v>3547</x:v>
      </x:c>
      <x:c r="E17" s="1" t="n">
        <x:f>SUMIFS(Campaigns!$J$5:$J$124,Campaigns!$C$5:$C$124,A17,Campaigns!$Q$5:$Q$124,1)</x:f>
        <x:v>1737</x:v>
      </x:c>
      <x:c r="F17" s="1" t="n">
        <x:f>SUMIFS(Campaigns!$L$5:$L$124,Campaigns!$C$5:$C$124,A17,Campaigns!$Q$5:$Q$124,1)</x:f>
        <x:v>762</x:v>
      </x:c>
      <x:c r="G17" s="8" t="n">
        <x:f>IF(D17=0,"n.a.",C17/D17)</x:f>
        <x:v>530.7759684240204</x:v>
      </x:c>
      <x:c r="H17" s="8" t="n">
        <x:f>IF(E17=0,"n.a.",C17/E17)</x:f>
        <x:v>1083.8585837651124</x:v>
      </x:c>
      <x:c r="I17" s="8" t="n">
        <x:f>IF(F17=0,"n.a.",C17/F17)</x:f>
        <x:v>2470.685511811024</x:v>
      </x:c>
      <x:c r="J17" s="8" t="n">
        <x:f>IF($B$12="OK",MIN(ROUNDDOWN(ROUND($B$4*100,0)*$B$6,0),ROUND($B$4*100,0)-SUM(J$16:J16)*100-5*ROUNDUP(ROUND($B$4*100,0)*$B$5,0))/100,0)</x:f>
        <x:v>250000</x:v>
      </x:c>
      <x:c r="K17" s="16" t="n">
        <x:f>IF($B$12="OK",J17/(I17*$B$11),0)</x:f>
        <x:v>101.1864920909132</x:v>
      </x:c>
      <x:c r="L17" s="9" t="n">
        <x:f>B17/SUM(B$16:B$22)</x:f>
        <x:v>0.12916369775578537</x:v>
      </x:c>
      <x:c r="M17" s="9" t="n">
        <x:f>IF($B$12="OK",J17/ROUND($B$4,2),0)</x:f>
        <x:v>0.25</x:v>
      </x:c>
    </x:row>
    <x:row r="18">
      <x:c r="A18" s="1" t="str">
        <x:v>Organic Search</x:v>
      </x:c>
      <x:c r="B18" s="8" t="n">
        <x:f>SUMIFS(Campaigns!$E$5:$E$124,Campaigns!$C$5:$C$124,A18,Campaigns!$Q$5:$Q$124,1)</x:f>
        <x:v>2170721</x:v>
      </x:c>
      <x:c r="C18" s="8" t="n">
        <x:f>SUMIFS(Campaigns!$F$5:$F$124,Campaigns!$C$5:$C$124,A18,Campaigns!$Q$5:$Q$124,1)</x:f>
        <x:v>1930628.48</x:v>
      </x:c>
      <x:c r="D18" s="1" t="n">
        <x:f>SUMIFS(Campaigns!$H$5:$H$124,Campaigns!$C$5:$C$124,A18,Campaigns!$Q$5:$Q$124,1)</x:f>
        <x:v>3893</x:v>
      </x:c>
      <x:c r="E18" s="1" t="n">
        <x:f>SUMIFS(Campaigns!$J$5:$J$124,Campaigns!$C$5:$C$124,A18,Campaigns!$Q$5:$Q$124,1)</x:f>
        <x:v>1873</x:v>
      </x:c>
      <x:c r="F18" s="1" t="n">
        <x:f>SUMIFS(Campaigns!$L$5:$L$124,Campaigns!$C$5:$C$124,A18,Campaigns!$Q$5:$Q$124,1)</x:f>
        <x:v>779</x:v>
      </x:c>
      <x:c r="G18" s="8" t="n">
        <x:f>IF(D18=0,"n.a.",C18/D18)</x:f>
        <x:v>495.9230619059851</x:v>
      </x:c>
      <x:c r="H18" s="8" t="n">
        <x:f>IF(E18=0,"n.a.",C18/E18)</x:f>
        <x:v>1030.7680085424452</x:v>
      </x:c>
      <x:c r="I18" s="8" t="n">
        <x:f>IF(F18=0,"n.a.",C18/F18)</x:f>
        <x:v>2478.342079589217</x:v>
      </x:c>
      <x:c r="J18" s="8" t="n">
        <x:f>IF($B$12="OK",MIN(ROUNDDOWN(ROUND($B$4*100,0)*$B$6,0),ROUND($B$4*100,0)-SUM(J$16:J17)*100-4*ROUNDUP(ROUND($B$4*100,0)*$B$5,0))/100,0)</x:f>
        <x:v>250000</x:v>
      </x:c>
      <x:c r="K18" s="16" t="n">
        <x:f>IF($B$12="OK",J18/(I18*$B$11),0)</x:f>
        <x:v>100.87388745037056</x:v>
      </x:c>
      <x:c r="L18" s="9" t="n">
        <x:f>B18/SUM(B$16:B$22)</x:f>
        <x:v>0.13603540257804866</x:v>
      </x:c>
      <x:c r="M18" s="9" t="n">
        <x:f>IF($B$12="OK",J18/ROUND($B$4,2),0)</x:f>
        <x:v>0.25</x:v>
      </x:c>
    </x:row>
    <x:row r="19">
      <x:c r="A19" s="1" t="str">
        <x:v>Google Search</x:v>
      </x:c>
      <x:c r="B19" s="8" t="n">
        <x:f>SUMIFS(Campaigns!$E$5:$E$124,Campaigns!$C$5:$C$124,A19,Campaigns!$Q$5:$Q$124,1)</x:f>
        <x:v>2293306</x:v>
      </x:c>
      <x:c r="C19" s="8" t="n">
        <x:f>SUMIFS(Campaigns!$F$5:$F$124,Campaigns!$C$5:$C$124,A19,Campaigns!$Q$5:$Q$124,1)</x:f>
        <x:v>2059118.7</x:v>
      </x:c>
      <x:c r="D19" s="1" t="n">
        <x:f>SUMIFS(Campaigns!$H$5:$H$124,Campaigns!$C$5:$C$124,A19,Campaigns!$Q$5:$Q$124,1)</x:f>
        <x:v>3391</x:v>
      </x:c>
      <x:c r="E19" s="1" t="n">
        <x:f>SUMIFS(Campaigns!$J$5:$J$124,Campaigns!$C$5:$C$124,A19,Campaigns!$Q$5:$Q$124,1)</x:f>
        <x:v>1631</x:v>
      </x:c>
      <x:c r="F19" s="1" t="n">
        <x:f>SUMIFS(Campaigns!$L$5:$L$124,Campaigns!$C$5:$C$124,A19,Campaigns!$Q$5:$Q$124,1)</x:f>
        <x:v>676</x:v>
      </x:c>
      <x:c r="G19" s="8" t="n">
        <x:f>IF(D19=0,"n.a.",C19/D19)</x:f>
        <x:v>607.2305219699203</x:v>
      </x:c>
      <x:c r="H19" s="8" t="n">
        <x:f>IF(E19=0,"n.a.",C19/E19)</x:f>
        <x:v>1262.4884733292458</x:v>
      </x:c>
      <x:c r="I19" s="8" t="n">
        <x:f>IF(F19=0,"n.a.",C19/F19)</x:f>
        <x:v>3046.033579881657</x:v>
      </x:c>
      <x:c r="J19" s="8" t="n">
        <x:f>IF($B$12="OK",MIN(ROUNDDOWN(ROUND($B$4*100,0)*$B$6,0),ROUND($B$4*100,0)-SUM(J$16:J18)*100-3*ROUNDUP(ROUND($B$4*100,0)*$B$5,0))/100,0)</x:f>
        <x:v>100000</x:v>
      </x:c>
      <x:c r="K19" s="16" t="n">
        <x:f>IF($B$12="OK",J19/(I19*$B$11),0)</x:f>
        <x:v>32.829578984446115</x:v>
      </x:c>
      <x:c r="L19" s="9" t="n">
        <x:f>B19/SUM(B$16:B$22)</x:f>
        <x:v>0.14371759657028907</x:v>
      </x:c>
      <x:c r="M19" s="9" t="n">
        <x:f>IF($B$12="OK",J19/ROUND($B$4,2),0)</x:f>
        <x:v>0.1</x:v>
      </x:c>
    </x:row>
    <x:row r="20">
      <x:c r="A20" s="1" t="str">
        <x:v>Email</x:v>
      </x:c>
      <x:c r="B20" s="8" t="n">
        <x:f>SUMIFS(Campaigns!$E$5:$E$124,Campaigns!$C$5:$C$124,A20,Campaigns!$Q$5:$Q$124,1)</x:f>
        <x:v>2655233</x:v>
      </x:c>
      <x:c r="C20" s="8" t="n">
        <x:f>SUMIFS(Campaigns!$F$5:$F$124,Campaigns!$C$5:$C$124,A20,Campaigns!$Q$5:$Q$124,1)</x:f>
        <x:v>2349667.3000000003</x:v>
      </x:c>
      <x:c r="D20" s="1" t="n">
        <x:f>SUMIFS(Campaigns!$H$5:$H$124,Campaigns!$C$5:$C$124,A20,Campaigns!$Q$5:$Q$124,1)</x:f>
        <x:v>3206</x:v>
      </x:c>
      <x:c r="E20" s="1" t="n">
        <x:f>SUMIFS(Campaigns!$J$5:$J$124,Campaigns!$C$5:$C$124,A20,Campaigns!$Q$5:$Q$124,1)</x:f>
        <x:v>1537</x:v>
      </x:c>
      <x:c r="F20" s="1" t="n">
        <x:f>SUMIFS(Campaigns!$L$5:$L$124,Campaigns!$C$5:$C$124,A20,Campaigns!$Q$5:$Q$124,1)</x:f>
        <x:v>660</x:v>
      </x:c>
      <x:c r="G20" s="8" t="n">
        <x:f>IF(D20=0,"n.a.",C20/D20)</x:f>
        <x:v>732.8968496568934</x:v>
      </x:c>
      <x:c r="H20" s="8" t="n">
        <x:f>IF(E20=0,"n.a.",C20/E20)</x:f>
        <x:v>1528.7360442420302</x:v>
      </x:c>
      <x:c r="I20" s="8" t="n">
        <x:f>IF(F20=0,"n.a.",C20/F20)</x:f>
        <x:v>3560.10196969697</x:v>
      </x:c>
      <x:c r="J20" s="8" t="n">
        <x:f>IF($B$12="OK",MIN(ROUNDDOWN(ROUND($B$4*100,0)*$B$6,0),ROUND($B$4*100,0)-SUM(J$16:J19)*100-2*ROUNDUP(ROUND($B$4*100,0)*$B$5,0))/100,0)</x:f>
        <x:v>50000</x:v>
      </x:c>
      <x:c r="K20" s="16" t="n">
        <x:f>IF($B$12="OK",J20/(I20*$B$11),0)</x:f>
        <x:v>14.044541539987383</x:v>
      </x:c>
      <x:c r="L20" s="9" t="n">
        <x:f>B20/SUM(B$16:B$22)</x:f>
        <x:v>0.16639894767384658</x:v>
      </x:c>
      <x:c r="M20" s="9" t="n">
        <x:f>IF($B$12="OK",J20/ROUND($B$4,2),0)</x:f>
        <x:v>0.05</x:v>
      </x:c>
    </x:row>
    <x:row r="21">
      <x:c r="A21" s="1" t="str">
        <x:v>Meta Ads</x:v>
      </x:c>
      <x:c r="B21" s="8" t="n">
        <x:f>SUMIFS(Campaigns!$E$5:$E$124,Campaigns!$C$5:$C$124,A21,Campaigns!$Q$5:$Q$124,1)</x:f>
        <x:v>2235932</x:v>
      </x:c>
      <x:c r="C21" s="8" t="n">
        <x:f>SUMIFS(Campaigns!$F$5:$F$124,Campaigns!$C$5:$C$124,A21,Campaigns!$Q$5:$Q$124,1)</x:f>
        <x:v>2076493.86</x:v>
      </x:c>
      <x:c r="D21" s="1" t="n">
        <x:f>SUMIFS(Campaigns!$H$5:$H$124,Campaigns!$C$5:$C$124,A21,Campaigns!$Q$5:$Q$124,1)</x:f>
        <x:v>2480</x:v>
      </x:c>
      <x:c r="E21" s="1" t="n">
        <x:f>SUMIFS(Campaigns!$J$5:$J$124,Campaigns!$C$5:$C$124,A21,Campaigns!$Q$5:$Q$124,1)</x:f>
        <x:v>1219</x:v>
      </x:c>
      <x:c r="F21" s="1" t="n">
        <x:f>SUMIFS(Campaigns!$L$5:$L$124,Campaigns!$C$5:$C$124,A21,Campaigns!$Q$5:$Q$124,1)</x:f>
        <x:v>523</x:v>
      </x:c>
      <x:c r="G21" s="8" t="n">
        <x:f>IF(D21=0,"n.a.",C21/D21)</x:f>
        <x:v>837.2959112903226</x:v>
      </x:c>
      <x:c r="H21" s="8" t="n">
        <x:f>IF(E21=0,"n.a.",C21/E21)</x:f>
        <x:v>1703.4404101722725</x:v>
      </x:c>
      <x:c r="I21" s="8" t="n">
        <x:f>IF(F21=0,"n.a.",C21/F21)</x:f>
        <x:v>3970.3515487571703</x:v>
      </x:c>
      <x:c r="J21" s="8" t="n">
        <x:f>IF($B$12="OK",MIN(ROUNDDOWN(ROUND($B$4*100,0)*$B$6,0),ROUND($B$4*100,0)-SUM(J$16:J20)*100-1*ROUNDUP(ROUND($B$4*100,0)*$B$5,0))/100,0)</x:f>
        <x:v>50000</x:v>
      </x:c>
      <x:c r="K21" s="16" t="n">
        <x:f>IF($B$12="OK",J21/(I21*$B$11),0)</x:f>
        <x:v>12.593343281063206</x:v>
      </x:c>
      <x:c r="L21" s="9" t="n">
        <x:f>B21/SUM(B$16:B$22)</x:f>
        <x:v>0.14012206532167953</x:v>
      </x:c>
      <x:c r="M21" s="9" t="n">
        <x:f>IF($B$12="OK",J21/ROUND($B$4,2),0)</x:f>
        <x:v>0.05</x:v>
      </x:c>
    </x:row>
    <x:row r="22">
      <x:c r="A22" s="1" t="str">
        <x:v>Display Ads</x:v>
      </x:c>
      <x:c r="B22" s="8" t="n">
        <x:f>SUMIFS(Campaigns!$E$5:$E$124,Campaigns!$C$5:$C$124,A22,Campaigns!$Q$5:$Q$124,1)</x:f>
        <x:v>2150281</x:v>
      </x:c>
      <x:c r="C22" s="8" t="n">
        <x:f>SUMIFS(Campaigns!$F$5:$F$124,Campaigns!$C$5:$C$124,A22,Campaigns!$Q$5:$Q$124,1)</x:f>
        <x:v>1796774.08</x:v>
      </x:c>
      <x:c r="D22" s="1" t="n">
        <x:f>SUMIFS(Campaigns!$H$5:$H$124,Campaigns!$C$5:$C$124,A22,Campaigns!$Q$5:$Q$124,1)</x:f>
        <x:v>1806</x:v>
      </x:c>
      <x:c r="E22" s="1" t="n">
        <x:f>SUMIFS(Campaigns!$J$5:$J$124,Campaigns!$C$5:$C$124,A22,Campaigns!$Q$5:$Q$124,1)</x:f>
        <x:v>839</x:v>
      </x:c>
      <x:c r="F22" s="1" t="n">
        <x:f>SUMIFS(Campaigns!$L$5:$L$124,Campaigns!$C$5:$C$124,A22,Campaigns!$Q$5:$Q$124,1)</x:f>
        <x:v>359</x:v>
      </x:c>
      <x:c r="G22" s="8" t="n">
        <x:f>IF(D22=0,"n.a.",C22/D22)</x:f>
        <x:v>994.8915171650056</x:v>
      </x:c>
      <x:c r="H22" s="8" t="n">
        <x:f>IF(E22=0,"n.a.",C22/E22)</x:f>
        <x:v>2141.566245530393</x:v>
      </x:c>
      <x:c r="I22" s="8" t="n">
        <x:f>IF(F22=0,"n.a.",C22/F22)</x:f>
        <x:v>5004.941727019499</x:v>
      </x:c>
      <x:c r="J22" s="8" t="n">
        <x:f>IF($B$12="OK",MIN(ROUNDDOWN(ROUND($B$4*100,0)*$B$6,0),ROUND($B$4*100,0)-SUM(J$16:J21)*100-0*ROUNDUP(ROUND($B$4*100,0)*$B$5,0))/100,0)</x:f>
        <x:v>50000</x:v>
      </x:c>
      <x:c r="K22" s="16" t="n">
        <x:f>IF($B$12="OK",J22/(I22*$B$11),0)</x:f>
        <x:v>9.990126304582487</x:v>
      </x:c>
      <x:c r="L22" s="9" t="n">
        <x:f>B22/SUM(B$16:B$22)</x:f>
        <x:v>0.13475446245322595</x:v>
      </x:c>
      <x:c r="M22" s="9" t="n">
        <x:f>IF($B$12="OK",J22/ROUND($B$4,2),0)</x:f>
        <x:v>0.05</x:v>
      </x:c>
    </x:row>
    <x:row r="23">
      <x:c r="A23" s="1" t="str">
        <x:v>Total</x:v>
      </x:c>
      <x:c r="B23" s="8" t="n">
        <x:f>SUM(B16:B22)</x:f>
        <x:v>15957030</x:v>
      </x:c>
      <x:c r="C23" s="8" t="n">
        <x:f>SUM(C16:C22)</x:f>
        <x:v>14198299.83</x:v>
      </x:c>
      <x:c r="D23" s="1" t="n">
        <x:f>SUM(D16:D22)</x:f>
        <x:v>22509</x:v>
      </x:c>
      <x:c r="E23" s="1" t="n">
        <x:f>SUM(E16:E22)</x:f>
        <x:v>10882</x:v>
      </x:c>
      <x:c r="F23" s="1" t="n">
        <x:f>SUM(F16:F22)</x:f>
        <x:v>4653</x:v>
      </x:c>
      <x:c r="G23" s="8"/>
      <x:c r="H23" s="8"/>
      <x:c r="I23" s="8"/>
      <x:c r="J23" s="8" t="n">
        <x:f>SUM(J16:J22)</x:f>
        <x:v>1000000</x:v>
      </x:c>
      <x:c r="K23" s="16" t="n">
        <x:f>SUM(K16:K22)</x:f>
        <x:v>377.7969887868409</x:v>
      </x:c>
      <x:c r="L23" s="9" t="n">
        <x:f>SUM(L16:L22)</x:f>
        <x:v>1</x:v>
      </x:c>
      <x:c r="M23" s="9" t="n">
        <x:f>SUM(M16:M22)</x:f>
        <x:v>1</x:v>
      </x:c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A26" s="1" t="str">
        <x:v>Rules: constant historical CPE; 100+ mature leads, positive spend and enrollment; all 7 channels eligible.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A28" s="1" t="str">
        <x:v>Multiplier assumptions: conservative costs +25%; base unchanged; optimistic costs −15%. No causal lift.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1" t="str">
        <x:v>Ordering is a historical snapshot. Refresh through the generator if source data or eligibility changes.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 t="str">
        <x:v>Invalid constraints suppress allocation. Modeled volumes are hypothetical, not a prediction.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</x:row>
  </x:sheetData>
  <x:mergeCells>
    <x:mergeCell ref="A1:M1"/>
    <x:mergeCell ref="A2:M2"/>
  </x:mergeCells>
  <x:dataValidations count="1">
    <x:dataValidation type="list" sqref="B7">
      <x:formula1>"Conservative,Base,Optimistic"</x:formula1>
    </x:dataValidation>
  </x:dataValidations>
  <x:pageMargins left="0.7" right="0.7" top="0.75" bottom="0.75" header="0.3" footer="0.3"/>
  <x:drawing xmlns:r="http://schemas.openxmlformats.org/officeDocument/2006/relationships" r:id="R0c72ebfa864344f9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8" customHeight="1">
      <x:c r="A1" s="3" t="str">
        <x:v>Reporting guide and provenance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4" t="str">
        <x:v>PORTFOLIO SIMULATION · CampusGrowth Analytics · INR · Snapshot 31 Dec 2025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 t="str">
        <x:v>Source: deterministic CampusGrowth simulation, seed 20261018; no real personal data.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 t="str">
        <x:v>Acquisition window: Jan–Dec 2025. Outcome snapshot: 31 December 2025.</x:v>
      </x:c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>
      <x:c r="A8" s="1" t="str">
        <x:v>Campaigns are the cost grain. Unique leads have one primary acquisition campaign.</x:v>
      </x:c>
      <x:c r="B8" s="1"/>
      <x:c r="C8" s="1"/>
      <x:c r="D8" s="1"/>
      <x:c r="E8" s="1"/>
      <x:c r="F8" s="1"/>
      <x:c r="G8" s="1"/>
      <x:c r="H8" s="1"/>
      <x:c r="I8" s="1"/>
      <x:c r="J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>
      <x:c r="A10" s="1" t="str">
        <x:v>Executive controls reconcile against reports/kpis.json and SQL management summaries.</x:v>
      </x:c>
      <x:c r="B10" s="1"/>
      <x:c r="C10" s="1"/>
      <x:c r="D10" s="1"/>
      <x:c r="E10" s="1"/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1" t="str">
        <x:v>Refresh: python -m src.pipeline; python -m src.export_business; then run scripts/build_workbook.mjs.</x:v>
      </x:c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 t="str">
        <x:v>Builder requires the documented @oai/artifact-tool runtime. The Streamlit app does not.</x:v>
      </x:c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 t="str">
        <x:v>Scenarios: edit blue inputs B4:B10. Recalculation is automatic in Excel.</x:v>
      </x:c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 t="str">
        <x:v>Mature planner source: Jan–Sep complete campaign-months; 91-day campaign-end rule.</x:v>
      </x:c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 t="str">
        <x:v>Workbook counts are observed-to-date; recent cohorts are not comparable to mature cohorts.</x:v>
      </x:c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 t="str">
        <x:v>Filters on tables do not change executive SUM formulas. Use the dashboard for filtered analysis.</x:v>
      </x:c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 t="str">
        <x:v>Geography has no cost allocation. No tuition revenue, ROI, causal effect or demand inference.</x:v>
      </x:c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 t="str">
        <x:v>Institution ID-to-name mapping: reports/session2/business_inputs.json and dashboard client selector.</x:v>
      </x:c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 t="str">
        <x:v>Source changes require a full refresh, including channel CPE rank and formula ranges.</x:v>
      </x:c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 t="str">
        <x:v>Inspect docs/REPORT_REFRESH.md for exact commands and verification limitations.</x:v>
      </x:c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</x:row>
  </x:sheetData>
  <x:mergeCells>
    <x:mergeCell ref="A1:J1"/>
    <x:mergeCell ref="A2:J2"/>
  </x:mergeCells>
  <x:pageMargins left="0.7" right="0.7" top="0.75" bottom="0.75" header="0.3" footer="0.3"/>
</x:worksheet>
</file>